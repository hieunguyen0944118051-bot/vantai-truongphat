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IẤY TỜ XE + ĐĂNG KIỂM" sheetId="1" r:id="rId5"/>
    <sheet state="visible" name="BẢO DƯỠNG XE + MOOC" sheetId="2" r:id="rId6"/>
    <sheet state="visible" name="THAY VỎ XE" sheetId="3" r:id="rId7"/>
    <sheet state="visible" name="THAY BẠT XE" sheetId="4" r:id="rId8"/>
  </sheets>
  <definedNames/>
  <calcPr/>
</workbook>
</file>

<file path=xl/sharedStrings.xml><?xml version="1.0" encoding="utf-8"?>
<sst xmlns="http://schemas.openxmlformats.org/spreadsheetml/2006/main" count="1259" uniqueCount="283">
  <si>
    <t>CÔNG TY TNHH DV VẬN TẢI TRƯỜNG PHÁT</t>
  </si>
  <si>
    <t>CÔNG NỢ NHÀ CUNG CẤP — PHÙNG LĨNH (may bạt)</t>
  </si>
  <si>
    <t>THEO DÕI THAY VỎ XE</t>
  </si>
  <si>
    <t>THEO DÕI BẢO DƯỠNG XE</t>
  </si>
  <si>
    <t>HỆ THỐNG THEO DÕI GIẤY TỜ XE</t>
  </si>
  <si>
    <t>CHÚ GIẢI MÀU  ·  Ô NỀN XANH = SỐ CÓ THỂ CHỈNH</t>
  </si>
  <si>
    <t>①  BẢO DƯỠNG ĐỊNH KỲ – THAY NHỚT ĐỘNG CƠ  (theo số km)</t>
  </si>
  <si>
    <t>STT</t>
  </si>
  <si>
    <t>Còn xa</t>
  </si>
  <si>
    <t>SỐ XE</t>
  </si>
  <si>
    <t>ĐỊNH MỨC
(KM)</t>
  </si>
  <si>
    <t>KM THAY
GẦN NHẤT</t>
  </si>
  <si>
    <t>NGÀY BẢO DƯỠNG
GẦN NHẤT</t>
  </si>
  <si>
    <t>KM
HIỆN TẠI</t>
  </si>
  <si>
    <t>ODO BẢNG KÊ
(tự lấy)</t>
  </si>
  <si>
    <t>KM ĐẾN
HẠN</t>
  </si>
  <si>
    <t>CÒN LẠI
(KM)</t>
  </si>
  <si>
    <t>Gần tới hạn</t>
  </si>
  <si>
    <t>TÌNH TRẠNG</t>
  </si>
  <si>
    <t>GHI CHÚ</t>
  </si>
  <si>
    <t>Sắp đến hạn</t>
  </si>
  <si>
    <t>63H 04273</t>
  </si>
  <si>
    <t>Chưa đủ dữ liệu</t>
  </si>
  <si>
    <t>CÒN NỢ (CHƯA THANH TOÁN)</t>
  </si>
  <si>
    <t>ĐÃ THANH TOÁN</t>
  </si>
  <si>
    <t>NGƯỠNG NGÀY:</t>
  </si>
  <si>
    <t>TỔNG PHÁT SINH</t>
  </si>
  <si>
    <t>Vàng ≤</t>
  </si>
  <si>
    <t>SỔ CHI TIẾT CÔNG NỢ  —  chia theo từng xe, thêm dòng mới khi có khoản mới</t>
  </si>
  <si>
    <t>Đỏ ≤</t>
  </si>
  <si>
    <t>← mốc này cũng là mốc gửi email nhắc tự động (nếu dùng Google Sheets)</t>
  </si>
  <si>
    <t>CHƯA THANH TOÁN</t>
  </si>
  <si>
    <t>TỔNG CHI CẢ ĐỘI (2026)</t>
  </si>
  <si>
    <t>TỔNG SỐ VỎ (2026)</t>
  </si>
  <si>
    <t>①  TỔNG QUAN NHANH — CẢ ĐỘI XE  (số vỏ đã thay theo quý, năm 2026)</t>
  </si>
  <si>
    <t>①  GIẤY ĐI ĐƯỜNG —  ĐẦU KÉO + ROMOÓC</t>
  </si>
  <si>
    <t>Quý 1
(T1-3)</t>
  </si>
  <si>
    <t>Quý 2
(T4-6)</t>
  </si>
  <si>
    <t>Quý 3
(T7-9)</t>
  </si>
  <si>
    <t>Quý 4
(T10-12)</t>
  </si>
  <si>
    <t>TỔNG CHI
(VNĐ)</t>
  </si>
  <si>
    <t>SỐ ROMOÓC</t>
  </si>
  <si>
    <t>TỔNG SỐ VỎ
(2026)</t>
  </si>
  <si>
    <t>HẠN GDD
ĐẦU KÉO</t>
  </si>
  <si>
    <t>CÒN LẠI
(ngày)</t>
  </si>
  <si>
    <t>HẠN GDD
ROMOÓC</t>
  </si>
  <si>
    <t>NGÀY MAY</t>
  </si>
  <si>
    <t>NỘI DUNG</t>
  </si>
  <si>
    <t>SỐ HÓA
ĐƠN</t>
  </si>
  <si>
    <t>SỐ TIỀN
(VNĐ)</t>
  </si>
  <si>
    <t>THANH TOÁN</t>
  </si>
  <si>
    <t>63R 01185</t>
  </si>
  <si>
    <t>May 1 bạt vải 3,5x10 / 1 bạt da mỏng 6,5x10m7 (63H04273)</t>
  </si>
  <si>
    <t>Đã thanh toán</t>
  </si>
  <si>
    <t>128.000KM THAY</t>
  </si>
  <si>
    <t>63E 01117</t>
  </si>
  <si>
    <t>63R 012.16</t>
  </si>
  <si>
    <t>63E 01156</t>
  </si>
  <si>
    <t>63R 01190</t>
  </si>
  <si>
    <t>120.000KM THAY</t>
  </si>
  <si>
    <t>63G 00286</t>
  </si>
  <si>
    <t>63R 01225</t>
  </si>
  <si>
    <t>126.000KM THAY</t>
  </si>
  <si>
    <t>63F-005.12</t>
  </si>
  <si>
    <t>63R 01203</t>
  </si>
  <si>
    <t>110.000KM THAY</t>
  </si>
  <si>
    <t>63F-005.38</t>
  </si>
  <si>
    <t>63R-011.94</t>
  </si>
  <si>
    <t>63E 011.08</t>
  </si>
  <si>
    <t>63R-012.11</t>
  </si>
  <si>
    <t>63F 005.28</t>
  </si>
  <si>
    <t>63R-01195</t>
  </si>
  <si>
    <t>63E 01212</t>
  </si>
  <si>
    <t>63R 01215</t>
  </si>
  <si>
    <t>May bạ da mỏng 6,5 x 10m7 (63E01156)</t>
  </si>
  <si>
    <t>63E01141</t>
  </si>
  <si>
    <t>63R 01193</t>
  </si>
  <si>
    <t>63G 00262</t>
  </si>
  <si>
    <t>63R 01192</t>
  </si>
  <si>
    <t xml:space="preserve">VPBANK </t>
  </si>
  <si>
    <t>63H04239</t>
  </si>
  <si>
    <t>63R 01196</t>
  </si>
  <si>
    <t>May bạt da mỏng 6,5x10,7 (63G00286)</t>
  </si>
  <si>
    <t>63E01201</t>
  </si>
  <si>
    <t>63R01212</t>
  </si>
  <si>
    <t>63E01132</t>
  </si>
  <si>
    <t>63R01198</t>
  </si>
  <si>
    <t>63E01276</t>
  </si>
  <si>
    <t>63R01210</t>
  </si>
  <si>
    <t>63F 012.12</t>
  </si>
  <si>
    <t>91.000KM THAY</t>
  </si>
  <si>
    <t>63F00516</t>
  </si>
  <si>
    <t>63R01186</t>
  </si>
  <si>
    <t>63F-011.41</t>
  </si>
  <si>
    <t>63H04234</t>
  </si>
  <si>
    <t>63RM00743</t>
  </si>
  <si>
    <t>63F00511</t>
  </si>
  <si>
    <t>63RM00744</t>
  </si>
  <si>
    <t>63E01103</t>
  </si>
  <si>
    <t>63R01223</t>
  </si>
  <si>
    <t>82.000KM THAY</t>
  </si>
  <si>
    <t>63E01118</t>
  </si>
  <si>
    <t>63R01201</t>
  </si>
  <si>
    <t>71.270</t>
  </si>
  <si>
    <t>63G00297</t>
  </si>
  <si>
    <t>May bạt da mỏng 6x13m2 (63F00538)</t>
  </si>
  <si>
    <t>66RM01030</t>
  </si>
  <si>
    <t>⚠ ngày gốc 04/09/2026 — khác hẳn tháng lân cận (3-6), nghi đảo ngày/tháng</t>
  </si>
  <si>
    <t>63E01235</t>
  </si>
  <si>
    <t>66RM01032</t>
  </si>
  <si>
    <t>52.000KM THAY</t>
  </si>
  <si>
    <t>63H04236</t>
  </si>
  <si>
    <t>66RM01034</t>
  </si>
  <si>
    <t>34.000 KM THAY</t>
  </si>
  <si>
    <t>63G00280</t>
  </si>
  <si>
    <t>66RM01037</t>
  </si>
  <si>
    <t>May bạt da mỏng 6,5x 10m7 (63E01108)</t>
  </si>
  <si>
    <t>66H08348</t>
  </si>
  <si>
    <t>66RM01038</t>
  </si>
  <si>
    <t>②  TEM ĐƯỜNG BỘ</t>
  </si>
  <si>
    <t>May bạt da mỏng 6,5x10m7 (63F00528)</t>
  </si>
  <si>
    <t>ghi chú cũ: tới 40.000km là thay</t>
  </si>
  <si>
    <t>HẠN TEM
ĐƯỜNG BỘ</t>
  </si>
  <si>
    <t>May bạt da mỏng 6,5x10,7 (63G00262)</t>
  </si>
  <si>
    <t>May bạt da Mốc + xanh nilong 6m x 14m7  / may 1 bạt vải 9,5x3 (63E01132)</t>
  </si>
  <si>
    <t>⚠ ngày gốc 06/03/2026 — khác hẳn tháng lân cận (6-7), nghi đảo ngày/tháng</t>
  </si>
  <si>
    <t>63H 04273 - LICH SU BAO DUONG</t>
  </si>
  <si>
    <t>NGÀY THAY</t>
  </si>
  <si>
    <t>KM LÚC THAY</t>
  </si>
  <si>
    <t>SỐ HÓA ĐƠN</t>
  </si>
  <si>
    <t>SỐ TIỀN (VNĐ)</t>
  </si>
  <si>
    <t>GARA BẢO DƯỠNG</t>
  </si>
  <si>
    <t>63E 01117 - LICH SU BAO DUONG</t>
  </si>
  <si>
    <t>③  ĐĂNG KIỂM XE  —  ĐẦU KÉO + ROMOÓC</t>
  </si>
  <si>
    <t>SỐ XE
ĐẦU KÉO</t>
  </si>
  <si>
    <t>HẠN ĐK
ĐẦU KÉO</t>
  </si>
  <si>
    <t>SỐ
ROMOÓC</t>
  </si>
  <si>
    <t>HẠN ĐK
ROMOÓC</t>
  </si>
  <si>
    <t>63R01185</t>
  </si>
  <si>
    <t>63E 01156 - LICH SU BAO DUONG</t>
  </si>
  <si>
    <t>63R 01216</t>
  </si>
  <si>
    <t>63G 00286 - LICH SU BAO DUONG</t>
  </si>
  <si>
    <t>63R01203</t>
  </si>
  <si>
    <t>63F-005.12 - LICH SU BAO DUONG</t>
  </si>
  <si>
    <t>TRẦN CƯỜNG</t>
  </si>
  <si>
    <t>May bạt da mỏng 6,5x10,7  / 1 bạt da vải 10mx3,5 (63E01235)</t>
  </si>
  <si>
    <t>63F-005.38 - LICH SU BAO DUONG</t>
  </si>
  <si>
    <t>cập nhật lúc 24/08/2026 05:23</t>
  </si>
  <si>
    <t>cập nhật lúc 27/08/2026 01:44</t>
  </si>
  <si>
    <t>May 1bạt da mốc + xanh nilong 5,5x14,5 (63E01141, 63E01212)</t>
  </si>
  <si>
    <t>⚠ ngày gốc 05/09/2026 — khác hẳn tháng lân cận (3-6), nghi đảo ngày/tháng · dùng chung với 63E01212</t>
  </si>
  <si>
    <t>may 2 bạc ghế (63E01212, 63E01141)</t>
  </si>
  <si>
    <t>Chưa thanh toán</t>
  </si>
  <si>
    <t>số tiền đã tính bên khối 63E01212 — không cộng lại ở đây</t>
  </si>
  <si>
    <t>63E 011.08 - LICH SU BAO DUONG</t>
  </si>
  <si>
    <t>XƯƠNG LỢI</t>
  </si>
  <si>
    <t>⚠ ngày gốc 05/09/2026 — khác hẳn tháng lân cận (3-6), nghi đảo ngày/tháng · số tiền đã tính bên khối 63E01141 — không cộng lại ở đây</t>
  </si>
  <si>
    <t>dùng chung với 63E01141</t>
  </si>
  <si>
    <t>④  THAM KHẢO: SỐ CHỖ NGỒI THEO CAVET XE</t>
  </si>
  <si>
    <t>63F 005.28 - LICH SU BAO DUONG</t>
  </si>
  <si>
    <t>SỐ CHỖ
NGỒI</t>
  </si>
  <si>
    <t>63E012.12 - LICH SU BAO DUONG</t>
  </si>
  <si>
    <t>May bạt da mỏng 6,5x10m7 (63H04236)</t>
  </si>
  <si>
    <t>63E01212</t>
  </si>
  <si>
    <t>may bạt da mốc + 2 tấm nilong xanh 6m x 14m70 (66H08348)</t>
  </si>
  <si>
    <t>⚠ biển số 66H08348 không thuộc đội xe công ty — xe thuê ngoài?</t>
  </si>
  <si>
    <t>63E-011.41 - LICH SU BAO DUONG</t>
  </si>
  <si>
    <t xml:space="preserve">5 PHẤN </t>
  </si>
  <si>
    <t>* Thay vỏ/bạt xong: thêm dòng mới trong đúng khối xe, ghi SỐ HOÁ ĐƠN khi Phùng Lĩnh xuất hoá đơn, chọn THANH TOÁN = Chưa thanh toán, đợi trả tiền xong đổi lại thành Đã thanh toán. Các ô tổng ở trên và tiêu đề mỗi khối tự cập nhật theo.</t>
  </si>
  <si>
    <t>* Khoản dùng chung nhiều xe (vd 1 hoá đơn may cho 2 xe) lặp lại ở mỗi khối xe liên quan, có ghi chú "dùng chung với..." — nhớ cập nhật SỐ HOÁ ĐƠN + TRẠNG THÁI THANH TOÁN đồng bộ ở cả 2 chỗ, tránh 1 nơi ghi đã trả 1 nơi ghi chưa.</t>
  </si>
  <si>
    <t>⚠ Trạng thái thanh toán các khoản CŨ (trước khi có sheet này) là mình SUY ĐOÁN theo tháng: khoản thuộc tháng nào mà hoá đơn tháng đó đã có dòng "THANH TOÁN HĐ số..." trong sổ công nợ gốc thì đánh Đã thanh toán. Riêng 2 khoản tháng 08 (hoá đơn 299 — 63E01212/63E01141 và 66H08348) file gốc ghi rõ CHƯA THANH TOÁN nên giữ Chưa thanh toán. Cột SỐ HÓA ĐƠN của các khoản cũ để trống vì file gốc không ghi số hoá đơn riêng cho từng khoản (chỉ có số hoá đơn gộp ở mức tổng, không map được về từng dòng) — anh điền lại nếu có số cũ, còn từ nay ghi luôn khi có hoá đơn mới.</t>
  </si>
  <si>
    <t>63G 00262 - LICH SU BAO DUONG</t>
  </si>
  <si>
    <t>* "CÒN LẠI (ngày)" tự tính theo ngày hiện tại mỗi khi mở file — không cần cập nhật tay.</t>
  </si>
  <si>
    <t>63H04239 - LICH SU BAO DUONG</t>
  </si>
  <si>
    <t>②  NHẬT KÝ THAY VỎ  —  chia theo từng xe</t>
  </si>
  <si>
    <t>63E01201 - LICH SU BAO DUONG</t>
  </si>
  <si>
    <t>63E01132 - LICH SU BAO DUONG</t>
  </si>
  <si>
    <t>SỐ VỎ
MỚI</t>
  </si>
  <si>
    <t>HÃNG VỎ</t>
  </si>
  <si>
    <t>VỊ TRÍ VỎ</t>
  </si>
  <si>
    <t>SỐ TEM
TRÊN VỎ</t>
  </si>
  <si>
    <t>GARA THAY</t>
  </si>
  <si>
    <t>VỎ CŨ
(thu hồi)</t>
  </si>
  <si>
    <t>Ngọc (lốp ô tô)</t>
  </si>
  <si>
    <t>63F00516 - LICH SU BAO DUONG</t>
  </si>
  <si>
    <t>THAY NGỌC LỚP OTO</t>
  </si>
  <si>
    <t>Thảo Ly</t>
  </si>
  <si>
    <t>thay ngọc thảo ly</t>
  </si>
  <si>
    <t>Sáu Lốp</t>
  </si>
  <si>
    <t>thay sáu vỏ lưu dđộng ( thu lại vỏ phế 200k)</t>
  </si>
  <si>
    <t>63E01276 - LICH SU BAO DUONG</t>
  </si>
  <si>
    <t>HẢI ÂU ĐN</t>
  </si>
  <si>
    <t>63E01118 - LICH SU BAO DUONG</t>
  </si>
  <si>
    <t>Bảo Ngọc</t>
  </si>
  <si>
    <t>thay vỏ bảo ngọc</t>
  </si>
  <si>
    <t>63E01103 - LICH SU BAO DUONG</t>
  </si>
  <si>
    <t>thay 2 vỏ  thu lại 2 vỏ phế trừ 200 còn 8tr400 (sáu vỏ lưu động)</t>
  </si>
  <si>
    <t>thay vỏ thảo ly</t>
  </si>
  <si>
    <t>Phú Anh</t>
  </si>
  <si>
    <t>thay vỏ phú anh</t>
  </si>
  <si>
    <t>63F00511 - LICH SU BAO DUONG</t>
  </si>
  <si>
    <t>63H04234 - LICH SU BAO DUONG</t>
  </si>
  <si>
    <t>Mooc</t>
  </si>
  <si>
    <t>thay  ở sáu lớp bến lức (trừ lại 400 tiền vỏ cũ)</t>
  </si>
  <si>
    <t>thay 4 vỏ mooc thu lại 4 vỏ phế trừ 400 còn 16tr800 (sáu vỏ lưu động)</t>
  </si>
  <si>
    <t>63E01235 - LICH SU BAO DUONG</t>
  </si>
  <si>
    <t xml:space="preserve">Ô TÔ HÀN QUỐC </t>
  </si>
  <si>
    <t>63G00297 - LICH SU BAO DUONG</t>
  </si>
  <si>
    <t>RITA VÕ</t>
  </si>
  <si>
    <t>63H04236 - LICH SU BAO DUONG</t>
  </si>
  <si>
    <t>ngọc lốp oto thu 2 vỏ phế</t>
  </si>
  <si>
    <t>94</t>
  </si>
  <si>
    <t>thay vỏ Thảo Ly</t>
  </si>
  <si>
    <t>104</t>
  </si>
  <si>
    <t xml:space="preserve"> </t>
  </si>
  <si>
    <t>66H08348 - LICH SU BAO DUONG</t>
  </si>
  <si>
    <t>thay vỏ ngọc lốp oto</t>
  </si>
  <si>
    <t>ngọc lốp oto thu lại 2 vỏ phế 100k</t>
  </si>
  <si>
    <t>63G00280 - LICH SU BAO DUONG</t>
  </si>
  <si>
    <t>3  BOI MO ROMOOC (1 nam/lan)</t>
  </si>
  <si>
    <t>189</t>
  </si>
  <si>
    <t>NGÀY BÔI MỠ
GẦN NHẤT</t>
  </si>
  <si>
    <t>HẠN TIẾP
THEO</t>
  </si>
  <si>
    <t>CÒN LẠI
(NGÀY)</t>
  </si>
  <si>
    <t>2</t>
  </si>
  <si>
    <t>thay vỏ sơ cua khong tốn tiền</t>
  </si>
  <si>
    <t>thay vỏ có sẵn ở cty</t>
  </si>
  <si>
    <t>thay vỏ bảo ngọc 4 vỏ 8tr600 mà để lại 2 vỏ phế còn 8tr400</t>
  </si>
  <si>
    <t>000010</t>
  </si>
  <si>
    <t>vỏ xe thay ngọc thảo ly</t>
  </si>
  <si>
    <t>thay vỏ Phú Anh</t>
  </si>
  <si>
    <t>Minh Cường</t>
  </si>
  <si>
    <t>thay vỏ Minh Cường</t>
  </si>
  <si>
    <t>Thay vỏ bảo ngọc</t>
  </si>
  <si>
    <t>* Muc (2) LICH SU BAO DUONG: nhap tay theo tung khoi xe, moi khoi co san 5 dong trong - bao duong xong go vao dong trong gan nhat trong khoi xe do (ngay, km, so hoa don, so tien, gara, chon Da/Chua thanh toan). Tieu de moi khoi tu dem so lan + tong tien.</t>
  </si>
  <si>
    <t>thay vỏ bảo ngọc thay 2 vỏ mooc</t>
  </si>
  <si>
    <t>81</t>
  </si>
  <si>
    <t>95</t>
  </si>
  <si>
    <t>194</t>
  </si>
  <si>
    <t>thay vỏ Bảo Ngọc</t>
  </si>
  <si>
    <t>thay 2 vỏ mooc thu lại 2 vỏ phế trừ 200 còn 8tr400 (sáu vỏ lưu động)</t>
  </si>
  <si>
    <t>105</t>
  </si>
  <si>
    <t>Thay vỏ Thảo ly</t>
  </si>
  <si>
    <t>204</t>
  </si>
  <si>
    <t>thay ngọc thảo ly quí</t>
  </si>
  <si>
    <t>thay vỏ  BẢO NGỌC</t>
  </si>
  <si>
    <t>thay 2 vỏ mooc thu lại 2 vỏ phế trừ 200 còn 8tr800 (sáu vỏ lưu động)</t>
  </si>
  <si>
    <t>4862</t>
  </si>
  <si>
    <t>Thay lốp vỏ Phú Anh</t>
  </si>
  <si>
    <t>thay sáu lốp thu 4 vỏ cũ</t>
  </si>
  <si>
    <t>80</t>
  </si>
  <si>
    <t>THAY Vỏ Thảo Ly</t>
  </si>
  <si>
    <t>2676</t>
  </si>
  <si>
    <t xml:space="preserve">Long hưng </t>
  </si>
  <si>
    <t xml:space="preserve">thay vỏ long hưng </t>
  </si>
  <si>
    <t>thay sáu vỏ lưu động</t>
  </si>
  <si>
    <t>thay 2</t>
  </si>
  <si>
    <t>474</t>
  </si>
  <si>
    <t>522</t>
  </si>
  <si>
    <t>2717</t>
  </si>
  <si>
    <t>195</t>
  </si>
  <si>
    <t>advance 255</t>
  </si>
  <si>
    <t>Đầu cái</t>
  </si>
  <si>
    <t>1422,1339,1426,1396</t>
  </si>
  <si>
    <t>NGỌC LONG HƯNG</t>
  </si>
  <si>
    <t>04 vỏ củ gửi</t>
  </si>
  <si>
    <t>Thay lốp xe ở Phú Anh</t>
  </si>
  <si>
    <t>198</t>
  </si>
  <si>
    <t>thay vỏ ngọc Thảo Ly</t>
  </si>
  <si>
    <t>thu 2 vỏ cũ</t>
  </si>
  <si>
    <t>thay sáu lốp ô tô</t>
  </si>
  <si>
    <t>Thành Phát</t>
  </si>
  <si>
    <t>thay 1</t>
  </si>
  <si>
    <t>Thay vỏ Thành Phát</t>
  </si>
  <si>
    <t>547</t>
  </si>
  <si>
    <t>thay vỏ 6 lốpp</t>
  </si>
  <si>
    <t>4275</t>
  </si>
  <si>
    <t>lốp xe Phú Anh vá vỏ 150K Căn vỏ 100k , thay 2 mâm 1tr500</t>
  </si>
  <si>
    <t>2093</t>
  </si>
  <si>
    <t>3193</t>
  </si>
  <si>
    <t>* Mỗi khối xe đã chừa sẵn 8 dòng trống (nền nhạt) — thay vỏ xong, gõ vào dòng trống gần nhất trong khối xe đó. Tiêu đề khối + bảng ① tự cập nhật, không cần sửa tay.</t>
  </si>
  <si>
    <t>* Cột HÃNG VỎ + SỐ TEM TRÊN VỎ: dữ liệu cũ không ghi nên để trống — từ nay thay vỏ nhớ ghi lại để tra cứu bảo hành/độ bền từng hãng. Cột VỊ TRÍ VỎ (Bánh lái/Đầu kéo/Mooc): đã tự nhận 9 dòng cũ có ghi rõ "mooc", còn lại để trống vì không đủ rõ. Cột GARA THAY có menu gợi ý nhưng vẫn gõ tên khác được. Cột THANH TOÁN: toàn bộ dữ liệu cũ đã đánh sẵn "Đã thanh toán" theo xác nhận của anh — từ nay thay vỏ xong chọn Chưa thanh toán, trả tiền xong đổi lại.</t>
  </si>
  <si>
    <t>⚠ Cần anh xác nhận: (1) khối 63G 00286 có 1 dòng ngày gốc ghi "17/4/20236" (dư số 6, xem ghi chú dòng đó) — chưa rõ ngày thật, và 2 dòng khối này file gốc không ghi số tiền (đã kiểm tra kỹ, không phải sót); (2) khối 63F-005.12 có dòng "thay vỏ sơ cua không tốn tiền" không có ngày; (3) hai biển số 63E01141 và 63E01212 (2 khối cuối, sau 63G00280/63H04236) có dữ liệu thay vỏ nhưng KHÔNG có trong danh sách 24 xe theo dõi nhớt/giấy tờ — trong khi 63F-011.41 và 63F 012.12 (theo dõi nhớt) lại không hề có dữ liệu thay vỏ nào. Có thể 2 cặp biển số này là CÙNG xe nhưng bị gõ lệch chữ đầu (F/E) — nhờ anh kiểm tra lại giúp, tránh theo dõi trùng/sai xe.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</si>
</sst>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quot; đ&quot;"/>
    <numFmt numFmtId="165" formatCode="dd/mm/yyyy"/>
    <numFmt numFmtId="166" formatCode="d/m/yyyy"/>
  </numFmts>
  <fonts count="56">
    <font>
      <sz val="11.0"/>
      <color theme="1"/>
      <name val="Calibri"/>
      <scheme val="minor"/>
    </font>
    <font>
      <b/>
      <sz val="12.0"/>
      <color rgb="FFFFFFFF"/>
      <name val="Arial"/>
    </font>
    <font/>
    <font>
      <color theme="1"/>
      <name val="Calibri"/>
      <scheme val="minor"/>
    </font>
    <font>
      <b/>
      <sz val="15.0"/>
      <color rgb="FFF4EBDA"/>
      <name val="Arial"/>
    </font>
    <font>
      <b/>
      <sz val="17.0"/>
      <color rgb="FFF4EBDA"/>
      <name val="Arial"/>
    </font>
    <font>
      <i/>
      <sz val="9.0"/>
      <color rgb="FF6C757D"/>
      <name val="Arial"/>
    </font>
    <font>
      <b/>
      <i/>
      <sz val="9.0"/>
      <color rgb="FF1B3A5B"/>
      <name val="Arial"/>
    </font>
    <font>
      <b/>
      <sz val="11.0"/>
      <color rgb="FFFFFFFF"/>
      <name val="Arial"/>
    </font>
    <font>
      <b/>
      <sz val="13.0"/>
      <color rgb="FF842029"/>
      <name val="Arial"/>
    </font>
    <font>
      <sz val="11.0"/>
      <color theme="1"/>
      <name val="Calibri"/>
    </font>
    <font>
      <b/>
      <sz val="9.0"/>
      <color rgb="FFFFFFFF"/>
      <name val="Arial"/>
    </font>
    <font>
      <sz val="9.0"/>
      <color rgb="FF1D2433"/>
      <name val="Arial"/>
    </font>
    <font>
      <b/>
      <sz val="13.0"/>
      <color rgb="FF6C757D"/>
      <name val="Arial"/>
    </font>
    <font>
      <sz val="9.0"/>
      <color rgb="FF846200"/>
      <name val="Arial"/>
    </font>
    <font>
      <b/>
      <sz val="11.0"/>
      <color rgb="FF1D2433"/>
      <name val="Arial"/>
    </font>
    <font>
      <sz val="9.0"/>
      <color rgb="FF842029"/>
      <name val="Arial"/>
    </font>
    <font>
      <b/>
      <sz val="13.0"/>
      <color rgb="FF6C4A2E"/>
      <name val="Arial"/>
    </font>
    <font>
      <sz val="11.0"/>
      <color rgb="FF1155CC"/>
      <name val="Arial"/>
    </font>
    <font>
      <sz val="9.0"/>
      <color rgb="FF6C757D"/>
      <name val="Arial"/>
    </font>
    <font>
      <sz val="8.0"/>
      <color rgb="FF6C757D"/>
      <name val="Arial"/>
    </font>
    <font>
      <b/>
      <sz val="9.0"/>
      <color rgb="FF1B3A5B"/>
      <name val="Arial"/>
    </font>
    <font>
      <b/>
      <sz val="10.0"/>
      <color rgb="FF1155CC"/>
      <name val="Arial"/>
    </font>
    <font>
      <i/>
      <sz val="8.0"/>
      <color rgb="FF6C757D"/>
      <name val="Arial"/>
    </font>
    <font>
      <b/>
      <sz val="10.0"/>
      <color rgb="FFE8D9BE"/>
      <name val="Arial"/>
    </font>
    <font>
      <b/>
      <sz val="10.0"/>
      <color rgb="FF1D2433"/>
      <name val="Arial"/>
    </font>
    <font>
      <sz val="10.0"/>
      <color rgb="FF1D2433"/>
      <name val="Arial"/>
    </font>
    <font>
      <b/>
      <sz val="11.0"/>
      <color rgb="FF000000"/>
      <name val="&quot;Times New Roman&quot;"/>
    </font>
    <font>
      <b/>
      <sz val="12.0"/>
      <color rgb="FF000000"/>
      <name val="&quot;Times New Roman&quot;"/>
    </font>
    <font>
      <i/>
      <sz val="11.0"/>
      <color rgb="FF6C757D"/>
      <name val="Arial"/>
    </font>
    <font>
      <sz val="10.0"/>
      <color theme="1"/>
      <name val="Arial"/>
    </font>
    <font>
      <b/>
      <sz val="10.0"/>
      <color rgb="FF000000"/>
      <name val="&quot;Times New Roman&quot;"/>
    </font>
    <font>
      <sz val="10.0"/>
      <color rgb="FF1155CC"/>
      <name val="Arial"/>
    </font>
    <font>
      <sz val="9.0"/>
      <color rgb="FF1155CC"/>
      <name val="Arial"/>
    </font>
    <font>
      <sz val="11.0"/>
      <color rgb="FF1D2433"/>
      <name val="Arial"/>
    </font>
    <font>
      <b/>
      <sz val="9.0"/>
      <color theme="1"/>
      <name val="Arial"/>
    </font>
    <font>
      <i/>
      <sz val="11.0"/>
      <color rgb="FF1155CC"/>
      <name val="Arial"/>
    </font>
    <font>
      <i/>
      <sz val="8.0"/>
      <color rgb="FF1D2433"/>
      <name val="Arial"/>
    </font>
    <font>
      <b/>
      <sz val="11.0"/>
      <color theme="1"/>
      <name val="&quot;Times New Roman&quot;"/>
    </font>
    <font>
      <b/>
      <sz val="10.0"/>
      <color theme="1"/>
      <name val="&quot;Times New Roman&quot;"/>
    </font>
    <font>
      <b/>
      <sz val="11.0"/>
      <color theme="1"/>
      <name val="Arial"/>
    </font>
    <font>
      <b/>
      <sz val="12.0"/>
      <color theme="1"/>
      <name val="&quot;Times New Roman&quot;"/>
    </font>
    <font>
      <b/>
      <sz val="11.0"/>
      <color rgb="FF000000"/>
      <name val="Calibri"/>
    </font>
    <font>
      <b/>
      <sz val="10.0"/>
      <color rgb="FF000000"/>
      <name val="Calibri"/>
    </font>
    <font>
      <i/>
      <sz val="8.0"/>
      <color rgb="FF842029"/>
      <name val="Arial"/>
    </font>
    <font>
      <sz val="11.0"/>
      <color rgb="FF000000"/>
      <name val="Calibri"/>
    </font>
    <font>
      <sz val="11.0"/>
      <color rgb="FF000000"/>
      <name val="Arial"/>
    </font>
    <font>
      <b/>
      <color rgb="FFFFFFFF"/>
      <name val="Calibri"/>
      <scheme val="minor"/>
    </font>
    <font>
      <b/>
      <sz val="9.0"/>
      <color rgb="FF842029"/>
      <name val="Arial"/>
    </font>
    <font>
      <b/>
      <i/>
      <sz val="10.0"/>
      <color rgb="FF000000"/>
      <name val="&quot;Times New Roman&quot;"/>
    </font>
    <font>
      <i/>
      <sz val="11.0"/>
      <color rgb="FF000000"/>
      <name val="&quot;Times New Roman&quot;"/>
    </font>
    <font>
      <b/>
      <i/>
      <sz val="11.0"/>
      <color rgb="FF000000"/>
      <name val="&quot;Times New Roman&quot;"/>
    </font>
    <font>
      <i/>
      <sz val="8.0"/>
      <color rgb="FF1155CC"/>
      <name val="Arial"/>
    </font>
    <font>
      <b/>
      <sz val="7.0"/>
      <color rgb="FF000000"/>
      <name val="&quot;Times New Roman&quot;"/>
    </font>
    <font>
      <b/>
      <sz val="9.0"/>
      <color rgb="FF1D2433"/>
      <name val="Arial"/>
    </font>
    <font>
      <sz val="11.0"/>
      <color theme="1"/>
      <name val="&quot;Times New Roman&quot;"/>
    </font>
  </fonts>
  <fills count="21">
    <fill>
      <patternFill patternType="none"/>
    </fill>
    <fill>
      <patternFill patternType="lightGray"/>
    </fill>
    <fill>
      <patternFill patternType="solid">
        <fgColor rgb="FF132A42"/>
        <bgColor rgb="FF132A42"/>
      </patternFill>
    </fill>
    <fill>
      <patternFill patternType="solid">
        <fgColor rgb="FF1B3A5B"/>
        <bgColor rgb="FF1B3A5B"/>
      </patternFill>
    </fill>
    <fill>
      <patternFill patternType="solid">
        <fgColor rgb="FFB0863A"/>
        <bgColor rgb="FFB0863A"/>
      </patternFill>
    </fill>
    <fill>
      <patternFill patternType="solid">
        <fgColor rgb="FFF8D7DA"/>
        <bgColor rgb="FFF8D7DA"/>
      </patternFill>
    </fill>
    <fill>
      <patternFill patternType="solid">
        <fgColor rgb="FFFFFFFF"/>
        <bgColor rgb="FFFFFFFF"/>
      </patternFill>
    </fill>
    <fill>
      <patternFill patternType="solid">
        <fgColor rgb="FFFFF3CD"/>
        <bgColor rgb="FFFFF3CD"/>
      </patternFill>
    </fill>
    <fill>
      <patternFill patternType="solid">
        <fgColor rgb="FFE9ECEF"/>
        <bgColor rgb="FFE9ECEF"/>
      </patternFill>
    </fill>
    <fill>
      <patternFill patternType="solid">
        <fgColor rgb="FFE8D9BE"/>
        <bgColor rgb="FFE8D9BE"/>
      </patternFill>
    </fill>
    <fill>
      <patternFill patternType="solid">
        <fgColor rgb="FFEAF1FB"/>
        <bgColor rgb="FFEAF1FB"/>
      </patternFill>
    </fill>
    <fill>
      <patternFill patternType="solid">
        <fgColor rgb="FF4A6280"/>
        <bgColor rgb="FF4A6280"/>
      </patternFill>
    </fill>
    <fill>
      <patternFill patternType="solid">
        <fgColor rgb="FFEAD1DC"/>
        <bgColor rgb="FFEAD1DC"/>
      </patternFill>
    </fill>
    <fill>
      <patternFill patternType="solid">
        <fgColor rgb="FFF4F6F8"/>
        <bgColor rgb="FFF4F6F8"/>
      </patternFill>
    </fill>
    <fill>
      <patternFill patternType="solid">
        <fgColor rgb="FFEEF2F6"/>
        <bgColor rgb="FFEEF2F6"/>
      </patternFill>
    </fill>
    <fill>
      <patternFill patternType="solid">
        <fgColor rgb="FF8A6B3D"/>
        <bgColor rgb="FF8A6B3D"/>
      </patternFill>
    </fill>
    <fill>
      <patternFill patternType="solid">
        <fgColor rgb="FFFBF6EC"/>
        <bgColor rgb="FFFBF6EC"/>
      </patternFill>
    </fill>
    <fill>
      <patternFill patternType="solid">
        <fgColor rgb="FFFFFF00"/>
        <bgColor rgb="FFFFFF00"/>
      </patternFill>
    </fill>
    <fill>
      <patternFill patternType="solid">
        <fgColor rgb="FFA61C00"/>
        <bgColor rgb="FFA61C00"/>
      </patternFill>
    </fill>
    <fill>
      <patternFill patternType="solid">
        <fgColor rgb="FFCC0000"/>
        <bgColor rgb="FFCC0000"/>
      </patternFill>
    </fill>
    <fill>
      <patternFill patternType="solid">
        <fgColor rgb="FF8A93A0"/>
        <bgColor rgb="FF8A93A0"/>
      </patternFill>
    </fill>
  </fills>
  <borders count="25">
    <border/>
    <border>
      <left/>
      <top/>
      <bottom/>
    </border>
    <border>
      <top/>
      <bottom/>
    </border>
    <border>
      <right/>
      <top/>
      <bottom/>
    </border>
    <border>
      <left style="thin">
        <color rgb="FFD0D5DD"/>
      </left>
      <top style="thin">
        <color rgb="FFD0D5DD"/>
      </top>
      <bottom style="thin">
        <color rgb="FFD0D5DD"/>
      </bottom>
    </border>
    <border>
      <right/>
      <top style="thin">
        <color rgb="FFD0D5DD"/>
      </top>
      <bottom style="thin">
        <color rgb="FFD0D5DD"/>
      </bottom>
    </border>
    <border>
      <left style="thin">
        <color rgb="FFB0B7C3"/>
      </left>
      <right style="thin">
        <color rgb="FFB0B7C3"/>
      </right>
      <top style="thin">
        <color rgb="FFB0B7C3"/>
      </top>
      <bottom style="thin">
        <color rgb="FFB0B7C3"/>
      </bottom>
    </border>
    <border>
      <left/>
      <right/>
      <top/>
    </border>
    <border>
      <left style="thin">
        <color rgb="FF000000"/>
      </left>
      <right style="thin">
        <color rgb="FF000000"/>
      </right>
      <top style="thin">
        <color rgb="FF000000"/>
      </top>
      <bottom style="thin">
        <color rgb="FF000000"/>
      </bottom>
    </border>
    <border>
      <top style="thin">
        <color rgb="FFD0D5DD"/>
      </top>
      <bottom style="thin">
        <color rgb="FFD0D5DD"/>
      </bottom>
    </border>
    <border>
      <left style="thin">
        <color rgb="FFD0D5DD"/>
      </left>
      <right style="thin">
        <color rgb="FFD0D5DD"/>
      </right>
      <top style="thin">
        <color rgb="FFD0D5DD"/>
      </top>
      <bottom style="thin">
        <color rgb="FFD0D5DD"/>
      </bottom>
    </border>
    <border>
      <left/>
      <right/>
      <top/>
      <bottom style="thin">
        <color rgb="FFFFFFFF"/>
      </bottom>
    </border>
    <border>
      <right style="double">
        <color rgb="FF000000"/>
      </right>
      <top style="thin">
        <color rgb="FFD0D5DD"/>
      </top>
      <bottom style="thin">
        <color rgb="FFD0D5DD"/>
      </bottom>
    </border>
    <border>
      <left style="thin">
        <color rgb="FF000000"/>
      </left>
      <right style="thin">
        <color rgb="FF000000"/>
      </right>
    </border>
    <border>
      <left/>
      <bottom/>
    </border>
    <border>
      <bottom/>
    </border>
    <border>
      <right/>
      <bottom/>
    </border>
    <border>
      <right style="double">
        <color rgb="FF000000"/>
      </right>
      <top style="thin">
        <color rgb="FFD0D5DD"/>
      </top>
    </border>
    <border>
      <right style="double">
        <color rgb="FF000000"/>
      </right>
      <top style="hair">
        <color rgb="FF000000"/>
      </top>
      <bottom style="hair">
        <color rgb="FF000000"/>
      </bottom>
    </border>
    <border>
      <right style="double">
        <color rgb="FF000000"/>
      </right>
    </border>
    <border>
      <right style="double">
        <color rgb="FF000000"/>
      </right>
      <top style="thin">
        <color rgb="FFD0D5DD"/>
      </top>
      <bottom style="double">
        <color rgb="FF000000"/>
      </bottom>
    </border>
    <border>
      <left style="thin">
        <color rgb="FFD0D5DD"/>
      </left>
      <right style="thin">
        <color rgb="FFD0D5DD"/>
      </right>
      <bottom style="thin">
        <color rgb="FFD0D5DD"/>
      </bottom>
    </border>
    <border>
      <left/>
      <top/>
      <bottom style="thin">
        <color rgb="FFFFFFFF"/>
      </bottom>
    </border>
    <border>
      <right/>
      <top/>
      <bottom style="thin">
        <color rgb="FFFFFFFF"/>
      </bottom>
    </border>
    <border>
      <right style="thin">
        <color rgb="FFD0D5DD"/>
      </right>
      <top style="thin">
        <color rgb="FFD0D5DD"/>
      </top>
      <bottom style="thin">
        <color rgb="FFD0D5DD"/>
      </bottom>
    </border>
  </borders>
  <cellStyleXfs count="1">
    <xf borderId="0" fillId="0" fontId="0" numFmtId="0" applyAlignment="1" applyFont="1"/>
  </cellStyleXfs>
  <cellXfs count="18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2" fillId="0" fontId="2" numFmtId="0" xfId="0" applyBorder="1" applyFont="1"/>
    <xf borderId="1" fillId="2" fontId="1" numFmtId="0" xfId="0" applyAlignment="1" applyBorder="1" applyFill="1" applyFont="1">
      <alignment horizontal="left" shrinkToFit="0" vertical="center" wrapText="0"/>
    </xf>
    <xf borderId="3" fillId="0" fontId="2" numFmtId="0" xfId="0" applyBorder="1" applyFont="1"/>
    <xf borderId="0" fillId="0" fontId="3" numFmtId="0" xfId="0" applyAlignment="1" applyFont="1">
      <alignment horizontal="center"/>
    </xf>
    <xf borderId="1" fillId="3" fontId="4" numFmtId="0" xfId="0" applyAlignment="1" applyBorder="1" applyFill="1" applyFont="1">
      <alignment horizontal="left" shrinkToFit="0" vertical="center" wrapText="0"/>
    </xf>
    <xf borderId="1" fillId="3" fontId="5" numFmtId="0" xfId="0" applyAlignment="1" applyBorder="1" applyFill="1" applyFont="1">
      <alignment horizontal="center" shrinkToFit="0" vertical="center" wrapText="0"/>
    </xf>
    <xf borderId="0" fillId="0" fontId="6" numFmtId="0" xfId="0" applyAlignment="1" applyFont="1">
      <alignment horizontal="center" shrinkToFit="0" vertical="bottom" wrapText="0"/>
    </xf>
    <xf borderId="0" fillId="0" fontId="7" numFmtId="0" xfId="0" applyAlignment="1" applyFont="1">
      <alignment horizontal="center" shrinkToFit="0" vertical="bottom" wrapText="0"/>
    </xf>
    <xf borderId="1" fillId="4" fontId="8" numFmtId="0" xfId="0" applyAlignment="1" applyBorder="1" applyFill="1" applyFont="1">
      <alignment horizontal="center" shrinkToFit="0" vertical="center" wrapText="0"/>
    </xf>
    <xf borderId="4" fillId="5" fontId="9" numFmtId="164" xfId="0" applyAlignment="1" applyBorder="1" applyFill="1" applyFont="1" applyNumberFormat="1">
      <alignment horizontal="center" shrinkToFit="0" vertical="center" wrapText="0"/>
    </xf>
    <xf borderId="5" fillId="0" fontId="2" numFmtId="0" xfId="0" applyBorder="1" applyFont="1"/>
    <xf borderId="6" fillId="6" fontId="10" numFmtId="0" xfId="0" applyAlignment="1" applyBorder="1" applyFill="1" applyFont="1">
      <alignment horizontal="center" shrinkToFit="0" vertical="bottom" wrapText="0"/>
    </xf>
    <xf borderId="7" fillId="3" fontId="11" numFmtId="0" xfId="0" applyAlignment="1" applyBorder="1" applyFill="1" applyFont="1">
      <alignment horizontal="center" shrinkToFit="0" vertical="center" wrapText="1"/>
    </xf>
    <xf borderId="0" fillId="0" fontId="12" numFmtId="0" xfId="0" applyAlignment="1" applyFont="1">
      <alignment horizontal="center" shrinkToFit="0" vertical="center" wrapText="0"/>
    </xf>
    <xf borderId="6" fillId="7" fontId="10" numFmtId="0" xfId="0" applyAlignment="1" applyBorder="1" applyFill="1" applyFont="1">
      <alignment horizontal="center" shrinkToFit="0" vertical="bottom" wrapText="0"/>
    </xf>
    <xf borderId="4" fillId="8" fontId="13" numFmtId="164" xfId="0" applyAlignment="1" applyBorder="1" applyFill="1" applyFont="1" applyNumberFormat="1">
      <alignment horizontal="center" shrinkToFit="0" vertical="center" wrapText="0"/>
    </xf>
    <xf borderId="0" fillId="0" fontId="14" numFmtId="0" xfId="0" applyAlignment="1" applyFont="1">
      <alignment horizontal="center" shrinkToFit="0" vertical="center" wrapText="0"/>
    </xf>
    <xf borderId="0" fillId="0" fontId="0" numFmtId="0" xfId="0" applyAlignment="1" applyFont="1">
      <alignment horizontal="center"/>
    </xf>
    <xf borderId="6" fillId="5" fontId="10" numFmtId="0" xfId="0" applyAlignment="1" applyBorder="1" applyFill="1" applyFont="1">
      <alignment horizontal="center" shrinkToFit="0" vertical="bottom" wrapText="0"/>
    </xf>
    <xf borderId="8" fillId="0" fontId="15" numFmtId="0" xfId="0" applyAlignment="1" applyBorder="1" applyFont="1">
      <alignment horizontal="center" shrinkToFit="0" vertical="center" wrapText="0"/>
    </xf>
    <xf borderId="0" fillId="0" fontId="16" numFmtId="0" xfId="0" applyAlignment="1" applyFont="1">
      <alignment horizontal="center" shrinkToFit="0" vertical="center" wrapText="0"/>
    </xf>
    <xf borderId="4" fillId="9" fontId="17" numFmtId="164" xfId="0" applyAlignment="1" applyBorder="1" applyFill="1" applyFont="1" applyNumberFormat="1">
      <alignment horizontal="center" shrinkToFit="0" vertical="center" wrapText="0"/>
    </xf>
    <xf borderId="8" fillId="0" fontId="18" numFmtId="3" xfId="0" applyAlignment="1" applyBorder="1" applyFont="1" applyNumberFormat="1">
      <alignment horizontal="center" shrinkToFit="0" vertical="center" wrapText="0"/>
    </xf>
    <xf borderId="6" fillId="8" fontId="10" numFmtId="0" xfId="0" applyAlignment="1" applyBorder="1" applyFill="1" applyFont="1">
      <alignment horizontal="center" shrinkToFit="0" vertical="bottom" wrapText="0"/>
    </xf>
    <xf borderId="9" fillId="0" fontId="2" numFmtId="0" xfId="0" applyBorder="1" applyFont="1"/>
    <xf borderId="0" fillId="0" fontId="19" numFmtId="0" xfId="0" applyAlignment="1" applyFont="1">
      <alignment horizontal="center" shrinkToFit="0" vertical="center" wrapText="0"/>
    </xf>
    <xf borderId="0" fillId="0" fontId="20" numFmtId="0" xfId="0" applyAlignment="1" applyFont="1">
      <alignment horizontal="center" shrinkToFit="0" vertical="center" wrapText="0"/>
    </xf>
    <xf borderId="0" fillId="0" fontId="21" numFmtId="0" xfId="0" applyAlignment="1" applyFont="1">
      <alignment horizontal="center" shrinkToFit="0" vertical="center" wrapText="0"/>
    </xf>
    <xf borderId="4" fillId="9" fontId="17" numFmtId="1" xfId="0" applyAlignment="1" applyBorder="1" applyFill="1" applyFont="1" applyNumberFormat="1">
      <alignment horizontal="center" shrinkToFit="0" vertical="center" wrapText="0"/>
    </xf>
    <xf borderId="10" fillId="10" fontId="22" numFmtId="0" xfId="0" applyAlignment="1" applyBorder="1" applyFill="1" applyFont="1">
      <alignment horizontal="center" shrinkToFit="0" vertical="center" wrapText="0"/>
    </xf>
    <xf borderId="1" fillId="4" fontId="8" numFmtId="0" xfId="0" applyAlignment="1" applyBorder="1" applyFill="1" applyFont="1">
      <alignment horizontal="left" shrinkToFit="0" vertical="center" wrapText="0"/>
    </xf>
    <xf borderId="0" fillId="0" fontId="23" numFmtId="0" xfId="0" applyAlignment="1" applyFont="1">
      <alignment horizontal="center" shrinkToFit="0" vertical="bottom" wrapText="0"/>
    </xf>
    <xf borderId="1" fillId="4" fontId="8" numFmtId="0" xfId="0" applyAlignment="1" applyBorder="1" applyFill="1" applyFont="1">
      <alignment horizontal="center" readingOrder="0" shrinkToFit="0" vertical="center" wrapText="0"/>
    </xf>
    <xf borderId="11" fillId="3" fontId="11" numFmtId="0" xfId="0" applyAlignment="1" applyBorder="1" applyFill="1" applyFont="1">
      <alignment horizontal="center" shrinkToFit="0" vertical="center" wrapText="1"/>
    </xf>
    <xf borderId="11" fillId="3" fontId="11" numFmtId="0" xfId="0" applyAlignment="1" applyBorder="1" applyFill="1" applyFont="1">
      <alignment horizontal="center" readingOrder="0" shrinkToFit="0" vertical="center" wrapText="1"/>
    </xf>
    <xf borderId="1" fillId="3" fontId="24" numFmtId="0" xfId="0" applyAlignment="1" applyBorder="1" applyFill="1" applyFont="1">
      <alignment horizontal="left" shrinkToFit="0" vertical="center" wrapText="0"/>
    </xf>
    <xf borderId="7" fillId="3" fontId="11" numFmtId="0" xfId="0" applyAlignment="1" applyBorder="1" applyFill="1" applyFont="1">
      <alignment horizontal="center" readingOrder="0" shrinkToFit="0" vertical="center" wrapText="1"/>
    </xf>
    <xf borderId="8" fillId="0" fontId="18" numFmtId="3" xfId="0" applyAlignment="1" applyBorder="1" applyFont="1" applyNumberFormat="1">
      <alignment horizontal="center" readingOrder="0" shrinkToFit="0" vertical="center" wrapText="0"/>
    </xf>
    <xf borderId="11" fillId="11" fontId="11" numFmtId="0" xfId="0" applyAlignment="1" applyBorder="1" applyFill="1" applyFont="1">
      <alignment horizontal="center" shrinkToFit="0" vertical="center" wrapText="1"/>
    </xf>
    <xf borderId="10" fillId="0" fontId="25" numFmtId="0" xfId="0" applyAlignment="1" applyBorder="1" applyFont="1">
      <alignment horizontal="center" shrinkToFit="0" vertical="center" wrapText="0"/>
    </xf>
    <xf borderId="8" fillId="0" fontId="25" numFmtId="0" xfId="0" applyAlignment="1" applyBorder="1" applyFont="1">
      <alignment horizontal="center" shrinkToFit="0" vertical="center" wrapText="0"/>
    </xf>
    <xf borderId="8" fillId="0" fontId="26" numFmtId="0" xfId="0" applyAlignment="1" applyBorder="1" applyFont="1">
      <alignment horizontal="center" shrinkToFit="0" vertical="center" wrapText="0"/>
    </xf>
    <xf borderId="8" fillId="6" fontId="27" numFmtId="165" xfId="0" applyAlignment="1" applyBorder="1" applyFill="1" applyFont="1" applyNumberFormat="1">
      <alignment horizontal="center" readingOrder="0" shrinkToFit="0" wrapText="0"/>
    </xf>
    <xf borderId="8" fillId="0" fontId="18" numFmtId="165" xfId="0" applyAlignment="1" applyBorder="1" applyFont="1" applyNumberFormat="1">
      <alignment horizontal="center" shrinkToFit="0" vertical="center" wrapText="0"/>
    </xf>
    <xf borderId="8" fillId="12" fontId="28" numFmtId="3" xfId="0" applyAlignment="1" applyBorder="1" applyFill="1" applyFont="1" applyNumberFormat="1">
      <alignment horizontal="center" readingOrder="0" shrinkToFit="0" wrapText="0"/>
    </xf>
    <xf borderId="10" fillId="0" fontId="26" numFmtId="1" xfId="0" applyAlignment="1" applyBorder="1" applyFont="1" applyNumberFormat="1">
      <alignment horizontal="center" shrinkToFit="0" vertical="center" wrapText="0"/>
    </xf>
    <xf borderId="8" fillId="13" fontId="29" numFmtId="3" xfId="0" applyAlignment="1" applyBorder="1" applyFill="1" applyFont="1" applyNumberFormat="1">
      <alignment horizontal="center" shrinkToFit="0" vertical="center" wrapText="0"/>
    </xf>
    <xf borderId="8" fillId="0" fontId="30" numFmtId="0" xfId="0" applyAlignment="1" applyBorder="1" applyFont="1">
      <alignment horizontal="center" shrinkToFit="0" vertical="center" wrapText="0"/>
    </xf>
    <xf borderId="8" fillId="6" fontId="31" numFmtId="165" xfId="0" applyAlignment="1" applyBorder="1" applyFill="1" applyFont="1" applyNumberFormat="1">
      <alignment horizontal="center" readingOrder="0" shrinkToFit="0" wrapText="0"/>
    </xf>
    <xf borderId="8" fillId="0" fontId="18" numFmtId="3" xfId="0" applyAlignment="1" applyBorder="1" applyFont="1" applyNumberFormat="1">
      <alignment horizontal="center" readingOrder="0" shrinkToFit="0" vertical="center" wrapText="0"/>
    </xf>
    <xf borderId="10" fillId="0" fontId="32" numFmtId="165" xfId="0" applyAlignment="1" applyBorder="1" applyFont="1" applyNumberFormat="1">
      <alignment horizontal="center" shrinkToFit="0" vertical="center" wrapText="0"/>
    </xf>
    <xf borderId="10" fillId="0" fontId="33" numFmtId="0" xfId="0" applyAlignment="1" applyBorder="1" applyFont="1">
      <alignment horizontal="left" shrinkToFit="0" vertical="center" wrapText="0"/>
    </xf>
    <xf borderId="10" fillId="0" fontId="33" numFmtId="0" xfId="0" applyAlignment="1" applyBorder="1" applyFont="1">
      <alignment horizontal="center" shrinkToFit="0" vertical="center" wrapText="0"/>
    </xf>
    <xf borderId="10" fillId="0" fontId="32" numFmtId="3" xfId="0" applyAlignment="1" applyBorder="1" applyFont="1" applyNumberFormat="1">
      <alignment horizontal="center" shrinkToFit="0" vertical="center" wrapText="0"/>
    </xf>
    <xf borderId="8" fillId="0" fontId="34" numFmtId="3" xfId="0" applyAlignment="1" applyBorder="1" applyFont="1" applyNumberFormat="1">
      <alignment horizontal="center" shrinkToFit="0" vertical="center" wrapText="0"/>
    </xf>
    <xf borderId="10" fillId="0" fontId="23" numFmtId="0" xfId="0" applyAlignment="1" applyBorder="1" applyFont="1">
      <alignment horizontal="left" shrinkToFit="0" vertical="center" wrapText="0"/>
    </xf>
    <xf borderId="10" fillId="14" fontId="25" numFmtId="0" xfId="0" applyAlignment="1" applyBorder="1" applyFill="1" applyFont="1">
      <alignment horizontal="center" shrinkToFit="0" vertical="center" wrapText="0"/>
    </xf>
    <xf borderId="10" fillId="14" fontId="32" numFmtId="165" xfId="0" applyAlignment="1" applyBorder="1" applyFill="1" applyFont="1" applyNumberFormat="1">
      <alignment horizontal="center" shrinkToFit="0" vertical="center" wrapText="0"/>
    </xf>
    <xf borderId="10" fillId="0" fontId="25" numFmtId="3" xfId="0" applyAlignment="1" applyBorder="1" applyFont="1" applyNumberFormat="1">
      <alignment horizontal="center" shrinkToFit="0" vertical="center" wrapText="0"/>
    </xf>
    <xf borderId="10" fillId="14" fontId="33" numFmtId="0" xfId="0" applyAlignment="1" applyBorder="1" applyFill="1" applyFont="1">
      <alignment horizontal="left" shrinkToFit="0" vertical="center" wrapText="0"/>
    </xf>
    <xf borderId="8" fillId="0" fontId="35" numFmtId="0" xfId="0" applyAlignment="1" applyBorder="1" applyFont="1">
      <alignment horizontal="center" shrinkToFit="0" vertical="center" wrapText="0"/>
    </xf>
    <xf borderId="10" fillId="14" fontId="33" numFmtId="0" xfId="0" applyAlignment="1" applyBorder="1" applyFill="1" applyFont="1">
      <alignment horizontal="center" shrinkToFit="0" vertical="center" wrapText="0"/>
    </xf>
    <xf borderId="12" fillId="0" fontId="36" numFmtId="0" xfId="0" applyAlignment="1" applyBorder="1" applyFont="1">
      <alignment horizontal="center" readingOrder="0" shrinkToFit="0" vertical="center" wrapText="0"/>
    </xf>
    <xf borderId="10" fillId="14" fontId="32" numFmtId="3" xfId="0" applyAlignment="1" applyBorder="1" applyFill="1" applyFont="1" applyNumberFormat="1">
      <alignment horizontal="center" shrinkToFit="0" vertical="center" wrapText="0"/>
    </xf>
    <xf borderId="10" fillId="0" fontId="25" numFmtId="1" xfId="0" applyAlignment="1" applyBorder="1" applyFont="1" applyNumberFormat="1">
      <alignment horizontal="center" shrinkToFit="0" vertical="center" wrapText="0"/>
    </xf>
    <xf borderId="8" fillId="0" fontId="23" numFmtId="0" xfId="0" applyAlignment="1" applyBorder="1" applyFont="1">
      <alignment horizontal="center" shrinkToFit="0" vertical="center" wrapText="0"/>
    </xf>
    <xf borderId="10" fillId="14" fontId="37" numFmtId="0" xfId="0" applyAlignment="1" applyBorder="1" applyFill="1" applyFont="1">
      <alignment horizontal="left" shrinkToFit="0" vertical="center" wrapText="0"/>
    </xf>
    <xf borderId="8" fillId="13" fontId="29" numFmtId="3" xfId="0" applyAlignment="1" applyBorder="1" applyFill="1" applyFont="1" applyNumberFormat="1">
      <alignment horizontal="center" readingOrder="0" shrinkToFit="0" vertical="center" wrapText="0"/>
    </xf>
    <xf borderId="11" fillId="15" fontId="11" numFmtId="0" xfId="0" applyAlignment="1" applyBorder="1" applyFill="1" applyFont="1">
      <alignment horizontal="center" shrinkToFit="0" vertical="center" wrapText="1"/>
    </xf>
    <xf borderId="10" fillId="16" fontId="25" numFmtId="0" xfId="0" applyAlignment="1" applyBorder="1" applyFill="1" applyFont="1">
      <alignment horizontal="center" shrinkToFit="0" vertical="center" wrapText="0"/>
    </xf>
    <xf borderId="10" fillId="16" fontId="32" numFmtId="165" xfId="0" applyAlignment="1" applyBorder="1" applyFill="1" applyFont="1" applyNumberFormat="1">
      <alignment horizontal="center" shrinkToFit="0" vertical="center" wrapText="0"/>
    </xf>
    <xf borderId="10" fillId="16" fontId="33" numFmtId="0" xfId="0" applyAlignment="1" applyBorder="1" applyFill="1" applyFont="1">
      <alignment horizontal="left" shrinkToFit="0" vertical="center" wrapText="0"/>
    </xf>
    <xf borderId="10" fillId="16" fontId="33" numFmtId="0" xfId="0" applyAlignment="1" applyBorder="1" applyFill="1" applyFont="1">
      <alignment horizontal="center" shrinkToFit="0" vertical="center" wrapText="0"/>
    </xf>
    <xf borderId="8" fillId="6" fontId="15" numFmtId="0" xfId="0" applyAlignment="1" applyBorder="1" applyFill="1" applyFont="1">
      <alignment horizontal="center" shrinkToFit="0" vertical="center" wrapText="0"/>
    </xf>
    <xf borderId="10" fillId="16" fontId="32" numFmtId="3" xfId="0" applyAlignment="1" applyBorder="1" applyFill="1" applyFont="1" applyNumberFormat="1">
      <alignment horizontal="center" shrinkToFit="0" vertical="center" wrapText="0"/>
    </xf>
    <xf borderId="8" fillId="0" fontId="18" numFmtId="165" xfId="0" applyAlignment="1" applyBorder="1" applyFont="1" applyNumberFormat="1">
      <alignment horizontal="center" readingOrder="0" shrinkToFit="0" vertical="center" wrapText="0"/>
    </xf>
    <xf borderId="10" fillId="16" fontId="37" numFmtId="0" xfId="0" applyAlignment="1" applyBorder="1" applyFill="1" applyFont="1">
      <alignment horizontal="left" shrinkToFit="0" vertical="center" wrapText="0"/>
    </xf>
    <xf borderId="8" fillId="6" fontId="38" numFmtId="165" xfId="0" applyAlignment="1" applyBorder="1" applyFill="1" applyFont="1" applyNumberFormat="1">
      <alignment horizontal="center" readingOrder="0" shrinkToFit="0" wrapText="0"/>
    </xf>
    <xf borderId="8" fillId="6" fontId="39" numFmtId="165" xfId="0" applyAlignment="1" applyBorder="1" applyFill="1" applyFont="1" applyNumberFormat="1">
      <alignment horizontal="center" readingOrder="0" shrinkToFit="0" wrapText="0"/>
    </xf>
    <xf borderId="12" fillId="0" fontId="36" numFmtId="0" xfId="0" applyAlignment="1" applyBorder="1" applyFont="1">
      <alignment horizontal="center" shrinkToFit="0" vertical="center" wrapText="0"/>
    </xf>
    <xf borderId="8" fillId="17" fontId="27" numFmtId="165" xfId="0" applyAlignment="1" applyBorder="1" applyFill="1" applyFont="1" applyNumberFormat="1">
      <alignment horizontal="center" readingOrder="0" shrinkToFit="0" wrapText="0"/>
    </xf>
    <xf borderId="8" fillId="17" fontId="31" numFmtId="165" xfId="0" applyAlignment="1" applyBorder="1" applyFill="1" applyFont="1" applyNumberFormat="1">
      <alignment horizontal="center" readingOrder="0" shrinkToFit="0" wrapText="0"/>
    </xf>
    <xf borderId="8" fillId="6" fontId="27" numFmtId="165" xfId="0" applyAlignment="1" applyBorder="1" applyFill="1" applyFont="1" applyNumberFormat="1">
      <alignment horizontal="center" readingOrder="0" shrinkToFit="0" vertical="bottom" wrapText="0"/>
    </xf>
    <xf borderId="8" fillId="6" fontId="31" numFmtId="165" xfId="0" applyAlignment="1" applyBorder="1" applyFill="1" applyFont="1" applyNumberFormat="1">
      <alignment horizontal="center" readingOrder="0" shrinkToFit="0" vertical="bottom" wrapText="0"/>
    </xf>
    <xf borderId="8" fillId="0" fontId="23" numFmtId="0" xfId="0" applyAlignment="1" applyBorder="1" applyFont="1">
      <alignment horizontal="center" readingOrder="0" shrinkToFit="0" vertical="center" wrapText="0"/>
    </xf>
    <xf borderId="8" fillId="12" fontId="28" numFmtId="0" xfId="0" applyAlignment="1" applyBorder="1" applyFill="1" applyFont="1">
      <alignment horizontal="center" readingOrder="0" shrinkToFit="0" wrapText="0"/>
    </xf>
    <xf borderId="8" fillId="18" fontId="40" numFmtId="0" xfId="0" applyAlignment="1" applyBorder="1" applyFill="1" applyFont="1">
      <alignment horizontal="center" shrinkToFit="0" vertical="center" wrapText="0"/>
    </xf>
    <xf borderId="8" fillId="6" fontId="38" numFmtId="165" xfId="0" applyAlignment="1" applyBorder="1" applyFill="1" applyFont="1" applyNumberFormat="1">
      <alignment horizontal="center" readingOrder="0" shrinkToFit="0" vertical="bottom" wrapText="0"/>
    </xf>
    <xf borderId="13" fillId="6" fontId="39" numFmtId="165" xfId="0" applyAlignment="1" applyBorder="1" applyFill="1" applyFont="1" applyNumberFormat="1">
      <alignment horizontal="center" readingOrder="0" shrinkToFit="0" vertical="bottom" wrapText="0"/>
    </xf>
    <xf borderId="8" fillId="0" fontId="0" numFmtId="0" xfId="0" applyAlignment="1" applyBorder="1" applyFont="1">
      <alignment horizontal="center"/>
    </xf>
    <xf borderId="8" fillId="6" fontId="39" numFmtId="165" xfId="0" applyAlignment="1" applyBorder="1" applyFill="1" applyFont="1" applyNumberFormat="1">
      <alignment horizontal="center" readingOrder="0" shrinkToFit="0" vertical="bottom" wrapText="0"/>
    </xf>
    <xf borderId="8" fillId="12" fontId="41" numFmtId="0" xfId="0" applyAlignment="1" applyBorder="1" applyFill="1" applyFont="1">
      <alignment horizontal="center" readingOrder="0" shrinkToFit="0" wrapText="0"/>
    </xf>
    <xf borderId="10" fillId="5" fontId="25" numFmtId="0" xfId="0" applyAlignment="1" applyBorder="1" applyFill="1" applyFont="1">
      <alignment horizontal="center" shrinkToFit="0" vertical="center" wrapText="0"/>
    </xf>
    <xf quotePrefix="1" borderId="8" fillId="12" fontId="28" numFmtId="0" xfId="0" applyAlignment="1" applyBorder="1" applyFill="1" applyFont="1">
      <alignment horizontal="center" readingOrder="0" shrinkToFit="0" wrapText="0"/>
    </xf>
    <xf borderId="10" fillId="5" fontId="32" numFmtId="165" xfId="0" applyAlignment="1" applyBorder="1" applyFill="1" applyFont="1" applyNumberFormat="1">
      <alignment horizontal="center" shrinkToFit="0" vertical="center" wrapText="0"/>
    </xf>
    <xf borderId="10" fillId="5" fontId="33" numFmtId="0" xfId="0" applyAlignment="1" applyBorder="1" applyFill="1" applyFont="1">
      <alignment horizontal="left" shrinkToFit="0" vertical="center" wrapText="0"/>
    </xf>
    <xf borderId="8" fillId="6" fontId="42" numFmtId="165" xfId="0" applyAlignment="1" applyBorder="1" applyFill="1" applyFont="1" applyNumberFormat="1">
      <alignment horizontal="center" readingOrder="0" shrinkToFit="0" wrapText="0"/>
    </xf>
    <xf borderId="10" fillId="5" fontId="33" numFmtId="0" xfId="0" applyAlignment="1" applyBorder="1" applyFill="1" applyFont="1">
      <alignment horizontal="center" shrinkToFit="0" vertical="center" wrapText="0"/>
    </xf>
    <xf borderId="10" fillId="5" fontId="32" numFmtId="3" xfId="0" applyAlignment="1" applyBorder="1" applyFill="1" applyFont="1" applyNumberFormat="1">
      <alignment horizontal="center" shrinkToFit="0" vertical="center" wrapText="0"/>
    </xf>
    <xf borderId="8" fillId="6" fontId="43" numFmtId="165" xfId="0" applyAlignment="1" applyBorder="1" applyFill="1" applyFont="1" applyNumberFormat="1">
      <alignment horizontal="center" readingOrder="0" shrinkToFit="0" wrapText="0"/>
    </xf>
    <xf borderId="10" fillId="5" fontId="44" numFmtId="0" xfId="0" applyAlignment="1" applyBorder="1" applyFill="1" applyFont="1">
      <alignment horizontal="left" shrinkToFit="0" vertical="center" wrapText="0"/>
    </xf>
    <xf borderId="8" fillId="0" fontId="26" numFmtId="0" xfId="0" applyAlignment="1" applyBorder="1" applyFont="1">
      <alignment horizontal="center" readingOrder="0" shrinkToFit="0" vertical="center" wrapText="0"/>
    </xf>
    <xf borderId="8" fillId="19" fontId="15" numFmtId="0" xfId="0" applyAlignment="1" applyBorder="1" applyFill="1" applyFont="1">
      <alignment horizontal="center" shrinkToFit="0" vertical="center" wrapText="0"/>
    </xf>
    <xf borderId="8" fillId="0" fontId="45" numFmtId="165" xfId="0" applyAlignment="1" applyBorder="1" applyFont="1" applyNumberFormat="1">
      <alignment horizontal="center" readingOrder="0" shrinkToFit="0" vertical="bottom" wrapText="0"/>
    </xf>
    <xf borderId="8" fillId="0" fontId="43" numFmtId="165" xfId="0" applyAlignment="1" applyBorder="1" applyFont="1" applyNumberFormat="1">
      <alignment horizontal="center" readingOrder="0" shrinkToFit="0" vertical="bottom" wrapText="0"/>
    </xf>
    <xf borderId="8" fillId="0" fontId="25" numFmtId="0" xfId="0" applyAlignment="1" applyBorder="1" applyFont="1">
      <alignment horizontal="center" readingOrder="0" shrinkToFit="0" vertical="center" wrapText="0"/>
    </xf>
    <xf borderId="8" fillId="0" fontId="43" numFmtId="165" xfId="0" applyAlignment="1" applyBorder="1" applyFont="1" applyNumberFormat="1">
      <alignment horizontal="center" readingOrder="0" shrinkToFit="0" wrapText="0"/>
    </xf>
    <xf borderId="0" fillId="6" fontId="8" numFmtId="0" xfId="0" applyAlignment="1" applyFill="1" applyFont="1">
      <alignment horizontal="center" shrinkToFit="0" vertical="center" wrapText="0"/>
    </xf>
    <xf borderId="14" fillId="2" fontId="8" numFmtId="0" xfId="0" applyAlignment="1" applyBorder="1" applyFill="1" applyFont="1">
      <alignment horizontal="center" shrinkToFit="0" vertical="center" wrapText="0"/>
    </xf>
    <xf borderId="15" fillId="0" fontId="2" numFmtId="0" xfId="0" applyBorder="1" applyFont="1"/>
    <xf borderId="16" fillId="0" fontId="2" numFmtId="0" xfId="0" applyBorder="1" applyFont="1"/>
    <xf borderId="8" fillId="12" fontId="41" numFmtId="3" xfId="0" applyAlignment="1" applyBorder="1" applyFill="1" applyFont="1" applyNumberFormat="1">
      <alignment horizontal="center" readingOrder="0" shrinkToFit="0" wrapText="0"/>
    </xf>
    <xf borderId="8" fillId="0" fontId="27" numFmtId="165" xfId="0" applyAlignment="1" applyBorder="1" applyFont="1" applyNumberFormat="1">
      <alignment horizontal="center" readingOrder="0" shrinkToFit="0" wrapText="0"/>
    </xf>
    <xf borderId="8" fillId="0" fontId="29" numFmtId="3" xfId="0" applyAlignment="1" applyBorder="1" applyFont="1" applyNumberFormat="1">
      <alignment horizontal="center" readingOrder="0" shrinkToFit="0" vertical="center" wrapText="0"/>
    </xf>
    <xf borderId="17" fillId="0" fontId="36" numFmtId="0" xfId="0" applyAlignment="1" applyBorder="1" applyFont="1">
      <alignment horizontal="center" shrinkToFit="0" vertical="center" wrapText="0"/>
    </xf>
    <xf borderId="8" fillId="0" fontId="29" numFmtId="3" xfId="0" applyAlignment="1" applyBorder="1" applyFont="1" applyNumberFormat="1">
      <alignment horizontal="center" shrinkToFit="0" vertical="center" wrapText="0"/>
    </xf>
    <xf borderId="18" fillId="0" fontId="36" numFmtId="0" xfId="0" applyAlignment="1" applyBorder="1" applyFont="1">
      <alignment horizontal="center" shrinkToFit="0" vertical="center" wrapText="0"/>
    </xf>
    <xf borderId="8" fillId="0" fontId="3" numFmtId="0" xfId="0" applyAlignment="1" applyBorder="1" applyFont="1">
      <alignment horizontal="center"/>
    </xf>
    <xf borderId="8" fillId="12" fontId="3" numFmtId="0" xfId="0" applyAlignment="1" applyBorder="1" applyFill="1" applyFont="1">
      <alignment horizontal="center"/>
    </xf>
    <xf borderId="19" fillId="0" fontId="3" numFmtId="0" xfId="0" applyAlignment="1" applyBorder="1" applyFont="1">
      <alignment horizontal="center"/>
    </xf>
    <xf borderId="8" fillId="0" fontId="15" numFmtId="0" xfId="0" applyAlignment="1" applyBorder="1" applyFont="1">
      <alignment horizontal="center" readingOrder="0" shrinkToFit="0" vertical="center" wrapText="0"/>
    </xf>
    <xf borderId="8" fillId="12" fontId="46" numFmtId="0" xfId="0" applyAlignment="1" applyBorder="1" applyFill="1" applyFont="1">
      <alignment horizontal="center" readingOrder="0" shrinkToFit="0" vertical="center" wrapText="0"/>
    </xf>
    <xf borderId="20" fillId="0" fontId="36" numFmtId="0" xfId="0" applyAlignment="1" applyBorder="1" applyFont="1">
      <alignment horizontal="center" shrinkToFit="0" vertical="center" wrapText="0"/>
    </xf>
    <xf borderId="0" fillId="3" fontId="47" numFmtId="0" xfId="0" applyAlignment="1" applyFill="1" applyFont="1">
      <alignment horizontal="center" readingOrder="0" vertical="center"/>
    </xf>
    <xf borderId="0" fillId="3" fontId="47" numFmtId="0" xfId="0" applyAlignment="1" applyFill="1" applyFont="1">
      <alignment horizontal="center" readingOrder="0"/>
    </xf>
    <xf borderId="8" fillId="0" fontId="3" numFmtId="165" xfId="0" applyAlignment="1" applyBorder="1" applyFont="1" applyNumberFormat="1">
      <alignment horizontal="center" readingOrder="0"/>
    </xf>
    <xf borderId="8" fillId="0" fontId="3" numFmtId="0" xfId="0" applyAlignment="1" applyBorder="1" applyFont="1">
      <alignment horizontal="center" readingOrder="0"/>
    </xf>
    <xf borderId="8" fillId="0" fontId="3" numFmtId="0" xfId="0" applyAlignment="1" applyBorder="1" applyFont="1">
      <alignment horizontal="center"/>
    </xf>
    <xf borderId="8" fillId="0" fontId="42" numFmtId="165" xfId="0" applyAlignment="1" applyBorder="1" applyFont="1" applyNumberFormat="1">
      <alignment horizontal="center" readingOrder="0" shrinkToFit="0" wrapText="0"/>
    </xf>
    <xf borderId="8" fillId="0" fontId="3" numFmtId="165" xfId="0" applyAlignment="1" applyBorder="1" applyFont="1" applyNumberFormat="1">
      <alignment horizontal="center"/>
    </xf>
    <xf borderId="8" fillId="0" fontId="27" numFmtId="165" xfId="0" applyAlignment="1" applyBorder="1" applyFont="1" applyNumberFormat="1">
      <alignment horizontal="center" readingOrder="0" shrinkToFit="0" vertical="bottom" wrapText="0"/>
    </xf>
    <xf borderId="0" fillId="0" fontId="3" numFmtId="165" xfId="0" applyAlignment="1" applyFont="1" applyNumberFormat="1">
      <alignment horizontal="center"/>
    </xf>
    <xf borderId="0" fillId="0" fontId="3" numFmtId="0" xfId="0" applyAlignment="1" applyFont="1">
      <alignment horizontal="center"/>
    </xf>
    <xf borderId="21" fillId="0" fontId="25" numFmtId="0" xfId="0" applyAlignment="1" applyBorder="1" applyFont="1">
      <alignment horizontal="center" readingOrder="0" shrinkToFit="0" vertical="center" wrapText="0"/>
    </xf>
    <xf borderId="8" fillId="0" fontId="3" numFmtId="165" xfId="0" applyAlignment="1" applyBorder="1" applyFont="1" applyNumberFormat="1">
      <alignment horizontal="center" readingOrder="0"/>
    </xf>
    <xf borderId="0" fillId="3" fontId="47" numFmtId="165" xfId="0" applyAlignment="1" applyFill="1" applyFont="1" applyNumberFormat="1">
      <alignment horizontal="center" readingOrder="0"/>
    </xf>
    <xf borderId="8" fillId="0" fontId="3" numFmtId="0" xfId="0" applyAlignment="1" applyBorder="1" applyFont="1">
      <alignment horizontal="center" readingOrder="0"/>
    </xf>
    <xf borderId="10" fillId="5" fontId="48" numFmtId="0" xfId="0" applyAlignment="1" applyBorder="1" applyFill="1" applyFont="1">
      <alignment horizontal="center" shrinkToFit="0" vertical="center" wrapText="0"/>
    </xf>
    <xf borderId="8" fillId="0" fontId="3" numFmtId="3" xfId="0" applyAlignment="1" applyBorder="1" applyFont="1" applyNumberFormat="1">
      <alignment horizontal="center" readingOrder="0"/>
    </xf>
    <xf borderId="8" fillId="6" fontId="25" numFmtId="0" xfId="0" applyAlignment="1" applyBorder="1" applyFill="1" applyFont="1">
      <alignment horizontal="center" readingOrder="0" shrinkToFit="0" vertical="center" wrapText="0"/>
    </xf>
    <xf borderId="8" fillId="6" fontId="49" numFmtId="165" xfId="0" applyAlignment="1" applyBorder="1" applyFill="1" applyFont="1" applyNumberFormat="1">
      <alignment horizontal="center" readingOrder="0" shrinkToFit="0" wrapText="0"/>
    </xf>
    <xf borderId="8" fillId="0" fontId="50" numFmtId="0" xfId="0" applyAlignment="1" applyBorder="1" applyFont="1">
      <alignment horizontal="center" readingOrder="0" shrinkToFit="0" wrapText="0"/>
    </xf>
    <xf borderId="8" fillId="6" fontId="51" numFmtId="165" xfId="0" applyAlignment="1" applyBorder="1" applyFill="1" applyFont="1" applyNumberFormat="1">
      <alignment horizontal="center" readingOrder="0" shrinkToFit="0" wrapText="0"/>
    </xf>
    <xf borderId="8" fillId="6" fontId="35" numFmtId="0" xfId="0" applyAlignment="1" applyBorder="1" applyFill="1" applyFont="1">
      <alignment horizontal="center" shrinkToFit="0" vertical="center" wrapText="0"/>
    </xf>
    <xf borderId="8" fillId="6" fontId="23" numFmtId="0" xfId="0" applyAlignment="1" applyBorder="1" applyFill="1" applyFont="1">
      <alignment horizontal="center" shrinkToFit="0" vertical="center" wrapText="0"/>
    </xf>
    <xf borderId="14" fillId="20" fontId="8" numFmtId="0" xfId="0" applyAlignment="1" applyBorder="1" applyFill="1" applyFont="1">
      <alignment horizontal="center" shrinkToFit="0" vertical="center" wrapText="0"/>
    </xf>
    <xf borderId="22" fillId="20" fontId="11" numFmtId="0" xfId="0" applyAlignment="1" applyBorder="1" applyFill="1" applyFont="1">
      <alignment horizontal="center" shrinkToFit="0" vertical="center" wrapText="1"/>
    </xf>
    <xf borderId="23" fillId="0" fontId="2" numFmtId="0" xfId="0" applyBorder="1" applyFont="1"/>
    <xf borderId="11" fillId="20" fontId="11" numFmtId="0" xfId="0" applyAlignment="1" applyBorder="1" applyFill="1" applyFont="1">
      <alignment horizontal="center" shrinkToFit="0" vertical="center" wrapText="1"/>
    </xf>
    <xf borderId="4" fillId="0" fontId="26" numFmtId="0" xfId="0" applyAlignment="1" applyBorder="1" applyFont="1">
      <alignment horizontal="center" shrinkToFit="0" vertical="center" wrapText="0"/>
    </xf>
    <xf borderId="24" fillId="0" fontId="2" numFmtId="0" xfId="0" applyBorder="1" applyFont="1"/>
    <xf borderId="10" fillId="0" fontId="26" numFmtId="0" xfId="0" applyAlignment="1" applyBorder="1" applyFont="1">
      <alignment horizontal="center" shrinkToFit="0" vertical="center" wrapText="0"/>
    </xf>
    <xf borderId="8" fillId="0" fontId="3" numFmtId="166" xfId="0" applyAlignment="1" applyBorder="1" applyFont="1" applyNumberFormat="1">
      <alignment horizontal="center" readingOrder="0"/>
    </xf>
    <xf borderId="0" fillId="0" fontId="23" numFmtId="0" xfId="0" applyAlignment="1" applyFont="1">
      <alignment shrinkToFit="0" vertical="top" wrapText="1"/>
    </xf>
    <xf borderId="0" fillId="0" fontId="44" numFmtId="0" xfId="0" applyAlignment="1" applyFont="1">
      <alignment shrinkToFit="0" vertical="top" wrapText="1"/>
    </xf>
    <xf borderId="10" fillId="0" fontId="25" numFmtId="0" xfId="0" applyAlignment="1" applyBorder="1" applyFont="1">
      <alignment horizontal="center" readingOrder="0" shrinkToFit="0" vertical="center" wrapText="0"/>
    </xf>
    <xf borderId="1" fillId="2" fontId="8" numFmtId="0" xfId="0" applyAlignment="1" applyBorder="1" applyFill="1" applyFont="1">
      <alignment horizontal="center" shrinkToFit="0" vertical="center" wrapText="0"/>
    </xf>
    <xf borderId="1" fillId="3" fontId="24" numFmtId="0" xfId="0" applyAlignment="1" applyBorder="1" applyFill="1" applyFont="1">
      <alignment horizontal="center" shrinkToFit="0" vertical="center" wrapText="0"/>
    </xf>
    <xf borderId="10" fillId="0" fontId="52" numFmtId="0" xfId="0" applyAlignment="1" applyBorder="1" applyFont="1">
      <alignment horizontal="center" shrinkToFit="0" vertical="center" wrapText="0"/>
    </xf>
    <xf borderId="10" fillId="14" fontId="52" numFmtId="0" xfId="0" applyAlignment="1" applyBorder="1" applyFill="1" applyFont="1">
      <alignment horizontal="center" shrinkToFit="0" vertical="center" wrapText="0"/>
    </xf>
    <xf borderId="10" fillId="0" fontId="33" numFmtId="0" xfId="0" applyAlignment="1" applyBorder="1" applyFont="1">
      <alignment horizontal="center" readingOrder="0" shrinkToFit="0" vertical="center" wrapText="0"/>
    </xf>
    <xf borderId="10" fillId="16" fontId="32" numFmtId="165" xfId="0" applyAlignment="1" applyBorder="1" applyFill="1" applyFont="1" applyNumberFormat="1">
      <alignment horizontal="center" readingOrder="0" shrinkToFit="0" vertical="center" wrapText="0"/>
    </xf>
    <xf borderId="10" fillId="16" fontId="33" numFmtId="0" xfId="0" applyAlignment="1" applyBorder="1" applyFill="1" applyFont="1">
      <alignment horizontal="center" readingOrder="0" shrinkToFit="0" vertical="center" wrapText="0"/>
    </xf>
    <xf borderId="10" fillId="16" fontId="52" numFmtId="0" xfId="0" applyAlignment="1" applyBorder="1" applyFill="1" applyFont="1">
      <alignment horizontal="center" readingOrder="0" shrinkToFit="0" vertical="center" wrapText="0"/>
    </xf>
    <xf borderId="10" fillId="16" fontId="52" numFmtId="0" xfId="0" applyAlignment="1" applyBorder="1" applyFill="1" applyFont="1">
      <alignment horizontal="center" shrinkToFit="0" vertical="center" wrapText="0"/>
    </xf>
    <xf borderId="10" fillId="0" fontId="32" numFmtId="165" xfId="0" applyAlignment="1" applyBorder="1" applyFont="1" applyNumberFormat="1">
      <alignment horizontal="center" readingOrder="0" shrinkToFit="0" vertical="center" wrapText="0"/>
    </xf>
    <xf borderId="10" fillId="0" fontId="52" numFmtId="0" xfId="0" applyAlignment="1" applyBorder="1" applyFont="1">
      <alignment horizontal="center" readingOrder="0" shrinkToFit="0" vertical="center" wrapText="0"/>
    </xf>
    <xf borderId="10" fillId="16" fontId="32" numFmtId="3" xfId="0" applyAlignment="1" applyBorder="1" applyFill="1" applyFont="1" applyNumberFormat="1">
      <alignment horizontal="center" readingOrder="0" shrinkToFit="0" vertical="center" wrapText="0"/>
    </xf>
    <xf borderId="8" fillId="0" fontId="53" numFmtId="0" xfId="0" applyAlignment="1" applyBorder="1" applyFont="1">
      <alignment horizontal="center" readingOrder="0" shrinkToFit="0" wrapText="0"/>
    </xf>
    <xf borderId="1" fillId="2" fontId="8" numFmtId="0" xfId="0" applyAlignment="1" applyBorder="1" applyFill="1" applyFont="1">
      <alignment horizontal="center" readingOrder="0" shrinkToFit="0" vertical="center" wrapText="0"/>
    </xf>
    <xf borderId="11" fillId="2" fontId="11" numFmtId="0" xfId="0" applyAlignment="1" applyBorder="1" applyFill="1" applyFont="1">
      <alignment horizontal="center" shrinkToFit="0" vertical="center" wrapText="1"/>
    </xf>
    <xf borderId="10" fillId="14" fontId="33" numFmtId="0" xfId="0" applyAlignment="1" applyBorder="1" applyFill="1" applyFont="1">
      <alignment horizontal="center" readingOrder="0" shrinkToFit="0" vertical="center" wrapText="0"/>
    </xf>
    <xf borderId="10" fillId="14" fontId="52" numFmtId="0" xfId="0" applyAlignment="1" applyBorder="1" applyFill="1" applyFont="1">
      <alignment horizontal="center" readingOrder="0" shrinkToFit="0" vertical="center" wrapText="0"/>
    </xf>
    <xf borderId="10" fillId="0" fontId="26" numFmtId="165" xfId="0" applyAlignment="1" applyBorder="1" applyFont="1" applyNumberFormat="1">
      <alignment horizontal="center" shrinkToFit="0" vertical="center" wrapText="0"/>
    </xf>
    <xf borderId="10" fillId="0" fontId="26" numFmtId="3" xfId="0" applyAlignment="1" applyBorder="1" applyFont="1" applyNumberFormat="1">
      <alignment horizontal="center" shrinkToFit="0" vertical="center" wrapText="0"/>
    </xf>
    <xf borderId="10" fillId="0" fontId="54" numFmtId="0" xfId="0" applyAlignment="1" applyBorder="1" applyFont="1">
      <alignment horizontal="center" shrinkToFit="0" vertical="center" wrapText="0"/>
    </xf>
    <xf borderId="0" fillId="0" fontId="3" numFmtId="0" xfId="0" applyAlignment="1" applyFont="1">
      <alignment horizontal="center" readingOrder="0"/>
    </xf>
    <xf borderId="8" fillId="0" fontId="55" numFmtId="165" xfId="0" applyAlignment="1" applyBorder="1" applyFont="1" applyNumberFormat="1">
      <alignment horizontal="center" readingOrder="0" shrinkToFit="0" wrapText="0"/>
    </xf>
    <xf borderId="10" fillId="14" fontId="32" numFmtId="165" xfId="0" applyAlignment="1" applyBorder="1" applyFill="1" applyFont="1" applyNumberFormat="1">
      <alignment horizontal="center" readingOrder="0" shrinkToFit="0" vertical="center" wrapText="0"/>
    </xf>
    <xf borderId="10" fillId="14" fontId="32" numFmtId="3" xfId="0" applyAlignment="1" applyBorder="1" applyFill="1" applyFont="1" applyNumberFormat="1">
      <alignment horizontal="center" readingOrder="0" shrinkToFit="0" vertical="center" wrapText="0"/>
    </xf>
    <xf borderId="0" fillId="0" fontId="23" numFmtId="0" xfId="0" applyAlignment="1" applyFont="1">
      <alignment horizontal="center" shrinkToFit="0" vertical="top" wrapText="1"/>
    </xf>
    <xf borderId="0" fillId="0" fontId="44" numFmtId="0" xfId="0" applyAlignment="1" applyFont="1">
      <alignment horizontal="center" shrinkToFit="0" vertical="top" wrapText="1"/>
    </xf>
  </cellXfs>
  <cellStyles count="1">
    <cellStyle xfId="0" name="Normal" builtinId="0"/>
  </cellStyles>
  <dxfs count="8">
    <dxf>
      <font>
        <color rgb="FF6C757D"/>
        <name val="Arial"/>
      </font>
      <fill>
        <patternFill patternType="solid">
          <fgColor rgb="FFE9ECEF"/>
          <bgColor rgb="FFE9ECEF"/>
        </patternFill>
      </fill>
      <border/>
    </dxf>
    <dxf>
      <font>
        <b/>
        <color rgb="FF842029"/>
        <name val="Arial"/>
      </font>
      <fill>
        <patternFill patternType="solid">
          <fgColor rgb="FFF8D7DA"/>
          <bgColor rgb="FFF8D7DA"/>
        </patternFill>
      </fill>
      <border/>
    </dxf>
    <dxf>
      <font>
        <b/>
        <color rgb="FF846200"/>
        <name val="Arial"/>
      </font>
      <fill>
        <patternFill patternType="solid">
          <fgColor rgb="FFFFF3CD"/>
          <bgColor rgb="FFFFF3CD"/>
        </patternFill>
      </fill>
      <border/>
    </dxf>
    <dxf>
      <font>
        <color rgb="FF6C757D"/>
      </font>
      <fill>
        <patternFill patternType="solid">
          <fgColor rgb="FFE9ECEF"/>
          <bgColor rgb="FFE9ECEF"/>
        </patternFill>
      </fill>
      <border/>
    </dxf>
    <dxf>
      <font>
        <b/>
        <color rgb="FF842029"/>
      </font>
      <fill>
        <patternFill patternType="solid">
          <fgColor rgb="FFF8D7DA"/>
          <bgColor rgb="FFF8D7DA"/>
        </patternFill>
      </fill>
      <border/>
    </dxf>
    <dxf>
      <font>
        <b/>
        <color rgb="FF846200"/>
      </font>
      <fill>
        <patternFill patternType="solid">
          <fgColor rgb="FFFFF3CD"/>
          <bgColor rgb="FFFFF3CD"/>
        </patternFill>
      </fill>
      <border/>
    </dxf>
    <dxf>
      <font>
        <color rgb="FF842029"/>
      </font>
      <fill>
        <patternFill patternType="solid">
          <fgColor rgb="FFF8D7DA"/>
          <bgColor rgb="FFF8D7DA"/>
        </patternFill>
      </fill>
      <border/>
    </dxf>
    <dxf>
      <font>
        <color rgb="FF846200"/>
      </font>
      <fill>
        <patternFill patternType="solid">
          <fgColor rgb="FFFFF3CD"/>
          <bgColor rgb="FFFFF3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0863A"/>
    <pageSetUpPr fitToPage="1"/>
  </sheetPr>
  <sheetViews>
    <sheetView showGridLines="0" workbookViewId="0">
      <pane xSplit="1.0" ySplit="8.0" topLeftCell="B9" activePane="bottomRight" state="frozen"/>
      <selection activeCell="B1" sqref="B1" pane="topRight"/>
      <selection activeCell="A9" sqref="A9" pane="bottomLeft"/>
      <selection activeCell="B9" sqref="B9" pane="bottomRight"/>
    </sheetView>
  </sheetViews>
  <sheetFormatPr customHeight="1" defaultColWidth="14.43" defaultRowHeight="15.0"/>
  <cols>
    <col customWidth="1" min="1" max="1" width="2.29"/>
    <col customWidth="1" min="2" max="2" width="6.0"/>
    <col customWidth="1" min="3" max="10" width="18.43"/>
    <col customWidth="1" min="11" max="26" width="8.71"/>
  </cols>
  <sheetData>
    <row r="1" ht="19.5" customHeight="1">
      <c r="A1" s="1" t="s">
        <v>0</v>
      </c>
      <c r="B1" s="2"/>
      <c r="C1" s="2"/>
      <c r="D1" s="2"/>
      <c r="E1" s="2"/>
      <c r="F1" s="2"/>
      <c r="G1" s="2"/>
      <c r="H1" s="2"/>
      <c r="I1" s="2"/>
      <c r="J1" s="4"/>
      <c r="K1" s="5"/>
      <c r="L1" s="5"/>
      <c r="M1" s="5"/>
      <c r="N1" s="5"/>
      <c r="O1" s="5"/>
      <c r="P1" s="5"/>
      <c r="Q1" s="5"/>
      <c r="R1" s="5"/>
      <c r="S1" s="5"/>
      <c r="T1" s="5"/>
      <c r="U1" s="5"/>
      <c r="V1" s="5"/>
      <c r="W1" s="5"/>
      <c r="X1" s="5"/>
      <c r="Y1" s="5"/>
      <c r="Z1" s="5"/>
    </row>
    <row r="2" ht="31.5" customHeight="1">
      <c r="A2" s="7" t="s">
        <v>4</v>
      </c>
      <c r="B2" s="2"/>
      <c r="C2" s="2"/>
      <c r="D2" s="2"/>
      <c r="E2" s="2"/>
      <c r="F2" s="2"/>
      <c r="G2" s="2"/>
      <c r="H2" s="2"/>
      <c r="I2" s="2"/>
      <c r="J2" s="4"/>
      <c r="K2" s="5"/>
      <c r="L2" s="5"/>
      <c r="M2" s="5"/>
      <c r="N2" s="5"/>
      <c r="O2" s="5"/>
      <c r="P2" s="5"/>
      <c r="Q2" s="5"/>
      <c r="R2" s="5"/>
      <c r="S2" s="5"/>
      <c r="T2" s="5"/>
      <c r="U2" s="5"/>
      <c r="V2" s="5"/>
      <c r="W2" s="5"/>
      <c r="X2" s="5"/>
      <c r="Y2" s="5"/>
      <c r="Z2" s="5"/>
    </row>
    <row r="3" ht="7.5" customHeight="1">
      <c r="A3" s="5"/>
      <c r="B3" s="5"/>
      <c r="C3" s="5"/>
      <c r="D3" s="5"/>
      <c r="E3" s="5"/>
      <c r="F3" s="5"/>
      <c r="G3" s="5"/>
      <c r="H3" s="5"/>
      <c r="I3" s="5"/>
      <c r="J3" s="5"/>
      <c r="K3" s="5"/>
      <c r="L3" s="5"/>
      <c r="M3" s="5"/>
      <c r="N3" s="5"/>
      <c r="O3" s="5"/>
      <c r="P3" s="5"/>
      <c r="Q3" s="5"/>
      <c r="R3" s="5"/>
      <c r="S3" s="5"/>
      <c r="T3" s="5"/>
      <c r="U3" s="5"/>
      <c r="V3" s="5"/>
      <c r="W3" s="5"/>
      <c r="X3" s="5"/>
      <c r="Y3" s="5"/>
      <c r="Z3" s="5"/>
    </row>
    <row r="4">
      <c r="A4" s="5"/>
      <c r="B4" s="9" t="s">
        <v>5</v>
      </c>
      <c r="I4" s="5"/>
      <c r="J4" s="5"/>
      <c r="K4" s="5"/>
      <c r="L4" s="5"/>
      <c r="M4" s="5"/>
      <c r="N4" s="5"/>
      <c r="O4" s="5"/>
      <c r="P4" s="5"/>
      <c r="Q4" s="5"/>
      <c r="R4" s="5"/>
      <c r="S4" s="5"/>
      <c r="T4" s="5"/>
      <c r="U4" s="5"/>
      <c r="V4" s="5"/>
      <c r="W4" s="5"/>
      <c r="X4" s="5"/>
      <c r="Y4" s="5"/>
      <c r="Z4" s="5"/>
    </row>
    <row r="5" ht="15.75" customHeight="1">
      <c r="A5" s="5"/>
      <c r="B5" s="13"/>
      <c r="C5" s="15" t="s">
        <v>8</v>
      </c>
      <c r="D5" s="16"/>
      <c r="E5" s="18" t="s">
        <v>17</v>
      </c>
      <c r="F5" s="20"/>
      <c r="G5" s="22" t="s">
        <v>20</v>
      </c>
      <c r="H5" s="5"/>
      <c r="I5" s="25"/>
      <c r="J5" s="27" t="s">
        <v>22</v>
      </c>
      <c r="K5" s="5"/>
      <c r="L5" s="5"/>
      <c r="M5" s="5"/>
      <c r="N5" s="5"/>
      <c r="O5" s="5"/>
      <c r="P5" s="5"/>
      <c r="Q5" s="5"/>
      <c r="R5" s="5"/>
      <c r="S5" s="5"/>
      <c r="T5" s="5"/>
      <c r="U5" s="5"/>
      <c r="V5" s="5"/>
      <c r="W5" s="5"/>
      <c r="X5" s="5"/>
      <c r="Y5" s="5"/>
      <c r="Z5" s="5"/>
    </row>
    <row r="6" ht="18.0" customHeight="1">
      <c r="A6" s="5"/>
      <c r="B6" s="29" t="s">
        <v>25</v>
      </c>
      <c r="D6" s="18" t="s">
        <v>27</v>
      </c>
      <c r="E6" s="31">
        <v>30.0</v>
      </c>
      <c r="F6" s="22" t="s">
        <v>29</v>
      </c>
      <c r="G6" s="31">
        <v>14.0</v>
      </c>
      <c r="H6" s="5"/>
      <c r="I6" s="33" t="s">
        <v>30</v>
      </c>
      <c r="K6" s="5"/>
      <c r="L6" s="5"/>
      <c r="M6" s="5"/>
      <c r="N6" s="5"/>
      <c r="O6" s="5"/>
      <c r="P6" s="5"/>
      <c r="Q6" s="5"/>
      <c r="R6" s="5"/>
      <c r="S6" s="5"/>
      <c r="T6" s="5"/>
      <c r="U6" s="5"/>
      <c r="V6" s="5"/>
      <c r="W6" s="5"/>
      <c r="X6" s="5"/>
      <c r="Y6" s="5"/>
      <c r="Z6" s="5"/>
    </row>
    <row r="7" ht="7.5" customHeight="1">
      <c r="A7" s="5"/>
      <c r="B7" s="5"/>
      <c r="C7" s="5"/>
      <c r="D7" s="5"/>
      <c r="E7" s="5"/>
      <c r="F7" s="5"/>
      <c r="G7" s="5"/>
      <c r="H7" s="5"/>
      <c r="I7" s="5"/>
      <c r="J7" s="5"/>
      <c r="K7" s="5"/>
      <c r="L7" s="5"/>
      <c r="M7" s="5"/>
      <c r="N7" s="5"/>
      <c r="O7" s="5"/>
      <c r="P7" s="5"/>
      <c r="Q7" s="5"/>
      <c r="R7" s="5"/>
      <c r="S7" s="5"/>
      <c r="T7" s="5"/>
      <c r="U7" s="5"/>
      <c r="V7" s="5"/>
      <c r="W7" s="5"/>
      <c r="X7" s="5"/>
      <c r="Y7" s="5"/>
      <c r="Z7" s="5"/>
    </row>
    <row r="8" ht="21.75" customHeight="1">
      <c r="A8" s="5"/>
      <c r="B8" s="34" t="s">
        <v>35</v>
      </c>
      <c r="C8" s="2"/>
      <c r="D8" s="2"/>
      <c r="E8" s="2"/>
      <c r="F8" s="2"/>
      <c r="G8" s="2"/>
      <c r="H8" s="2"/>
      <c r="I8" s="2"/>
      <c r="J8" s="4"/>
      <c r="K8" s="5"/>
      <c r="L8" s="5"/>
      <c r="M8" s="5"/>
      <c r="N8" s="5"/>
      <c r="O8" s="5"/>
      <c r="P8" s="5"/>
      <c r="Q8" s="5"/>
      <c r="R8" s="5"/>
      <c r="S8" s="5"/>
      <c r="T8" s="5"/>
      <c r="U8" s="5"/>
      <c r="V8" s="5"/>
      <c r="W8" s="5"/>
      <c r="X8" s="5"/>
      <c r="Y8" s="5"/>
      <c r="Z8" s="5"/>
    </row>
    <row r="9" ht="40.5" customHeight="1">
      <c r="A9" s="5"/>
      <c r="B9" s="14" t="s">
        <v>7</v>
      </c>
      <c r="C9" s="14" t="s">
        <v>9</v>
      </c>
      <c r="D9" s="14" t="s">
        <v>41</v>
      </c>
      <c r="E9" s="38" t="s">
        <v>43</v>
      </c>
      <c r="F9" s="14" t="s">
        <v>44</v>
      </c>
      <c r="G9" s="38" t="s">
        <v>45</v>
      </c>
      <c r="H9" s="14" t="s">
        <v>44</v>
      </c>
      <c r="I9" s="14" t="s">
        <v>18</v>
      </c>
      <c r="J9" s="14" t="s">
        <v>19</v>
      </c>
      <c r="K9" s="5"/>
      <c r="L9" s="5"/>
      <c r="M9" s="5"/>
      <c r="N9" s="5"/>
      <c r="O9" s="5"/>
      <c r="P9" s="5"/>
      <c r="Q9" s="5"/>
      <c r="R9" s="5"/>
      <c r="S9" s="5"/>
      <c r="T9" s="5"/>
      <c r="U9" s="5"/>
      <c r="V9" s="5"/>
      <c r="W9" s="5"/>
      <c r="X9" s="5"/>
      <c r="Y9" s="5"/>
      <c r="Z9" s="5"/>
    </row>
    <row r="10" ht="18.75" customHeight="1">
      <c r="A10" s="5"/>
      <c r="B10" s="42">
        <v>1.0</v>
      </c>
      <c r="C10" s="42" t="s">
        <v>21</v>
      </c>
      <c r="D10" s="43" t="s">
        <v>51</v>
      </c>
      <c r="E10" s="44">
        <v>46312.0</v>
      </c>
      <c r="F10" s="49">
        <f t="shared" ref="F10:F34" si="1">IF(E10="","",E10-TODAY())</f>
        <v>49</v>
      </c>
      <c r="G10" s="50">
        <v>46312.0</v>
      </c>
      <c r="H10" s="49">
        <f t="shared" ref="H10:H34" si="2">IF(G10="","",G10-TODAY())</f>
        <v>49</v>
      </c>
      <c r="I10" s="62" t="str">
        <f t="shared" ref="I10:I34" si="3">IF(OR(E10="",G10=""),"Chưa có ngày",IF(MIN(F10,H10)&lt;=$G$6,"Sắp đến hạn",IF(MIN(F10,H10)&lt;=$E$6,"Gần tới hạn","Còn xa")))</f>
        <v>Còn xa</v>
      </c>
      <c r="J10" s="67"/>
      <c r="K10" s="5"/>
      <c r="L10" s="5"/>
      <c r="M10" s="5"/>
      <c r="N10" s="5"/>
      <c r="O10" s="5"/>
      <c r="P10" s="5"/>
      <c r="Q10" s="5"/>
      <c r="R10" s="5"/>
      <c r="S10" s="5"/>
      <c r="T10" s="5"/>
      <c r="U10" s="5"/>
      <c r="V10" s="5"/>
      <c r="W10" s="5"/>
      <c r="X10" s="5"/>
      <c r="Y10" s="5"/>
      <c r="Z10" s="5"/>
    </row>
    <row r="11" ht="18.75" customHeight="1">
      <c r="A11" s="5"/>
      <c r="B11" s="42">
        <v>2.0</v>
      </c>
      <c r="C11" s="42" t="s">
        <v>55</v>
      </c>
      <c r="D11" s="43" t="s">
        <v>56</v>
      </c>
      <c r="E11" s="44">
        <v>46349.0</v>
      </c>
      <c r="F11" s="49">
        <f t="shared" si="1"/>
        <v>86</v>
      </c>
      <c r="G11" s="50">
        <v>46349.0</v>
      </c>
      <c r="H11" s="49">
        <f t="shared" si="2"/>
        <v>86</v>
      </c>
      <c r="I11" s="62" t="str">
        <f t="shared" si="3"/>
        <v>Còn xa</v>
      </c>
      <c r="J11" s="67"/>
      <c r="K11" s="5"/>
      <c r="L11" s="5"/>
      <c r="M11" s="5"/>
      <c r="N11" s="5"/>
      <c r="O11" s="5"/>
      <c r="P11" s="5"/>
      <c r="Q11" s="5"/>
      <c r="R11" s="5"/>
      <c r="S11" s="5"/>
      <c r="T11" s="5"/>
      <c r="U11" s="5"/>
      <c r="V11" s="5"/>
      <c r="W11" s="5"/>
      <c r="X11" s="5"/>
      <c r="Y11" s="5"/>
      <c r="Z11" s="5"/>
    </row>
    <row r="12" ht="18.75" customHeight="1">
      <c r="A12" s="5"/>
      <c r="B12" s="42">
        <v>3.0</v>
      </c>
      <c r="C12" s="42" t="s">
        <v>57</v>
      </c>
      <c r="D12" s="43" t="s">
        <v>58</v>
      </c>
      <c r="E12" s="44">
        <v>46372.0</v>
      </c>
      <c r="F12" s="49">
        <f t="shared" si="1"/>
        <v>109</v>
      </c>
      <c r="G12" s="50">
        <v>46378.0</v>
      </c>
      <c r="H12" s="49">
        <f t="shared" si="2"/>
        <v>115</v>
      </c>
      <c r="I12" s="62" t="str">
        <f t="shared" si="3"/>
        <v>Còn xa</v>
      </c>
      <c r="J12" s="67"/>
      <c r="K12" s="5"/>
      <c r="L12" s="5"/>
      <c r="M12" s="5"/>
      <c r="N12" s="5"/>
      <c r="O12" s="5"/>
      <c r="P12" s="5"/>
      <c r="Q12" s="5"/>
      <c r="R12" s="5"/>
      <c r="S12" s="5"/>
      <c r="T12" s="5"/>
      <c r="U12" s="5"/>
      <c r="V12" s="5"/>
      <c r="W12" s="5"/>
      <c r="X12" s="5"/>
      <c r="Y12" s="5"/>
      <c r="Z12" s="5"/>
    </row>
    <row r="13" ht="18.75" customHeight="1">
      <c r="A13" s="5"/>
      <c r="B13" s="42">
        <v>4.0</v>
      </c>
      <c r="C13" s="42" t="s">
        <v>60</v>
      </c>
      <c r="D13" s="43" t="s">
        <v>61</v>
      </c>
      <c r="E13" s="44">
        <v>46405.0</v>
      </c>
      <c r="F13" s="49">
        <f t="shared" si="1"/>
        <v>142</v>
      </c>
      <c r="G13" s="50">
        <v>46405.0</v>
      </c>
      <c r="H13" s="49">
        <f t="shared" si="2"/>
        <v>142</v>
      </c>
      <c r="I13" s="62" t="str">
        <f t="shared" si="3"/>
        <v>Còn xa</v>
      </c>
      <c r="J13" s="67"/>
      <c r="K13" s="5"/>
      <c r="L13" s="5"/>
      <c r="M13" s="5"/>
      <c r="N13" s="5"/>
      <c r="O13" s="5"/>
      <c r="P13" s="5"/>
      <c r="Q13" s="5"/>
      <c r="R13" s="5"/>
      <c r="S13" s="5"/>
      <c r="T13" s="5"/>
      <c r="U13" s="5"/>
      <c r="V13" s="5"/>
      <c r="W13" s="5"/>
      <c r="X13" s="5"/>
      <c r="Y13" s="5"/>
      <c r="Z13" s="5"/>
    </row>
    <row r="14" ht="18.75" customHeight="1">
      <c r="A14" s="5"/>
      <c r="B14" s="42">
        <v>5.0</v>
      </c>
      <c r="C14" s="42" t="s">
        <v>63</v>
      </c>
      <c r="D14" s="43" t="s">
        <v>64</v>
      </c>
      <c r="E14" s="44">
        <v>46430.0</v>
      </c>
      <c r="F14" s="49">
        <f t="shared" si="1"/>
        <v>167</v>
      </c>
      <c r="G14" s="50">
        <v>46430.0</v>
      </c>
      <c r="H14" s="49">
        <f t="shared" si="2"/>
        <v>167</v>
      </c>
      <c r="I14" s="62" t="str">
        <f t="shared" si="3"/>
        <v>Còn xa</v>
      </c>
      <c r="J14" s="67"/>
      <c r="K14" s="5"/>
      <c r="L14" s="5"/>
      <c r="M14" s="5"/>
      <c r="N14" s="5"/>
      <c r="O14" s="5"/>
      <c r="P14" s="5"/>
      <c r="Q14" s="5"/>
      <c r="R14" s="5"/>
      <c r="S14" s="5"/>
      <c r="T14" s="5"/>
      <c r="U14" s="5"/>
      <c r="V14" s="5"/>
      <c r="W14" s="5"/>
      <c r="X14" s="5"/>
      <c r="Y14" s="5"/>
      <c r="Z14" s="5"/>
    </row>
    <row r="15" ht="18.75" customHeight="1">
      <c r="A15" s="5"/>
      <c r="B15" s="42">
        <v>6.0</v>
      </c>
      <c r="C15" s="42" t="s">
        <v>66</v>
      </c>
      <c r="D15" s="43" t="s">
        <v>67</v>
      </c>
      <c r="E15" s="79">
        <v>46298.0</v>
      </c>
      <c r="F15" s="49">
        <f t="shared" si="1"/>
        <v>35</v>
      </c>
      <c r="G15" s="80">
        <v>46298.0</v>
      </c>
      <c r="H15" s="49">
        <f t="shared" si="2"/>
        <v>35</v>
      </c>
      <c r="I15" s="62" t="str">
        <f t="shared" si="3"/>
        <v>Còn xa</v>
      </c>
      <c r="J15" s="67"/>
      <c r="K15" s="5"/>
      <c r="L15" s="5"/>
      <c r="M15" s="5"/>
      <c r="N15" s="5"/>
      <c r="O15" s="5"/>
      <c r="P15" s="5"/>
      <c r="Q15" s="5"/>
      <c r="R15" s="5"/>
      <c r="S15" s="5"/>
      <c r="T15" s="5"/>
      <c r="U15" s="5"/>
      <c r="V15" s="5"/>
      <c r="W15" s="5"/>
      <c r="X15" s="5"/>
      <c r="Y15" s="5"/>
      <c r="Z15" s="5"/>
    </row>
    <row r="16" ht="18.75" customHeight="1">
      <c r="A16" s="5"/>
      <c r="B16" s="42">
        <v>7.0</v>
      </c>
      <c r="C16" s="42" t="s">
        <v>68</v>
      </c>
      <c r="D16" s="43" t="s">
        <v>69</v>
      </c>
      <c r="E16" s="44">
        <v>46339.0</v>
      </c>
      <c r="F16" s="49">
        <f t="shared" si="1"/>
        <v>76</v>
      </c>
      <c r="G16" s="50">
        <v>46339.0</v>
      </c>
      <c r="H16" s="49">
        <f t="shared" si="2"/>
        <v>76</v>
      </c>
      <c r="I16" s="62" t="str">
        <f t="shared" si="3"/>
        <v>Còn xa</v>
      </c>
      <c r="J16" s="67"/>
      <c r="K16" s="5"/>
      <c r="L16" s="5"/>
      <c r="M16" s="5"/>
      <c r="N16" s="5"/>
      <c r="O16" s="5"/>
      <c r="P16" s="5"/>
      <c r="Q16" s="5"/>
      <c r="R16" s="5"/>
      <c r="S16" s="5"/>
      <c r="T16" s="5"/>
      <c r="U16" s="5"/>
      <c r="V16" s="5"/>
      <c r="W16" s="5"/>
      <c r="X16" s="5"/>
      <c r="Y16" s="5"/>
      <c r="Z16" s="5"/>
    </row>
    <row r="17" ht="18.75" customHeight="1">
      <c r="A17" s="5"/>
      <c r="B17" s="42">
        <v>8.0</v>
      </c>
      <c r="C17" s="42" t="s">
        <v>70</v>
      </c>
      <c r="D17" s="43" t="s">
        <v>71</v>
      </c>
      <c r="E17" s="44">
        <v>46396.0</v>
      </c>
      <c r="F17" s="49">
        <f t="shared" si="1"/>
        <v>133</v>
      </c>
      <c r="G17" s="50">
        <v>46396.0</v>
      </c>
      <c r="H17" s="49">
        <f t="shared" si="2"/>
        <v>133</v>
      </c>
      <c r="I17" s="62" t="str">
        <f t="shared" si="3"/>
        <v>Còn xa</v>
      </c>
      <c r="J17" s="67"/>
      <c r="K17" s="5"/>
      <c r="L17" s="5"/>
      <c r="M17" s="5"/>
      <c r="N17" s="5"/>
      <c r="O17" s="5"/>
      <c r="P17" s="5"/>
      <c r="Q17" s="5"/>
      <c r="R17" s="5"/>
      <c r="S17" s="5"/>
      <c r="T17" s="5"/>
      <c r="U17" s="5"/>
      <c r="V17" s="5"/>
      <c r="W17" s="5"/>
      <c r="X17" s="5"/>
      <c r="Y17" s="5"/>
      <c r="Z17" s="5"/>
    </row>
    <row r="18" ht="18.75" customHeight="1">
      <c r="A18" s="5"/>
      <c r="B18" s="42">
        <v>9.0</v>
      </c>
      <c r="C18" s="42" t="s">
        <v>72</v>
      </c>
      <c r="D18" s="43" t="s">
        <v>73</v>
      </c>
      <c r="E18" s="82">
        <v>46274.0</v>
      </c>
      <c r="F18" s="49">
        <f t="shared" si="1"/>
        <v>11</v>
      </c>
      <c r="G18" s="83">
        <v>46274.0</v>
      </c>
      <c r="H18" s="49">
        <f t="shared" si="2"/>
        <v>11</v>
      </c>
      <c r="I18" s="62" t="str">
        <f t="shared" si="3"/>
        <v>Sắp đến hạn</v>
      </c>
      <c r="J18" s="67"/>
      <c r="K18" s="5"/>
      <c r="L18" s="5"/>
      <c r="M18" s="5"/>
      <c r="N18" s="5"/>
      <c r="O18" s="5"/>
      <c r="P18" s="5"/>
      <c r="Q18" s="5"/>
      <c r="R18" s="5"/>
      <c r="S18" s="5"/>
      <c r="T18" s="5"/>
      <c r="U18" s="5"/>
      <c r="V18" s="5"/>
      <c r="W18" s="5"/>
      <c r="X18" s="5"/>
      <c r="Y18" s="5"/>
      <c r="Z18" s="5"/>
    </row>
    <row r="19" ht="18.75" customHeight="1">
      <c r="A19" s="5"/>
      <c r="B19" s="42">
        <v>10.0</v>
      </c>
      <c r="C19" s="42" t="s">
        <v>75</v>
      </c>
      <c r="D19" s="43" t="s">
        <v>76</v>
      </c>
      <c r="E19" s="82">
        <v>46260.0</v>
      </c>
      <c r="F19" s="49">
        <f t="shared" si="1"/>
        <v>-3</v>
      </c>
      <c r="G19" s="83">
        <v>46260.0</v>
      </c>
      <c r="H19" s="49">
        <f t="shared" si="2"/>
        <v>-3</v>
      </c>
      <c r="I19" s="62" t="str">
        <f t="shared" si="3"/>
        <v>Sắp đến hạn</v>
      </c>
      <c r="J19" s="67"/>
      <c r="K19" s="5"/>
      <c r="L19" s="5"/>
      <c r="M19" s="5"/>
      <c r="N19" s="5"/>
      <c r="O19" s="5"/>
      <c r="P19" s="5"/>
      <c r="Q19" s="5"/>
      <c r="R19" s="5"/>
      <c r="S19" s="5"/>
      <c r="T19" s="5"/>
      <c r="U19" s="5"/>
      <c r="V19" s="5"/>
      <c r="W19" s="5"/>
      <c r="X19" s="5"/>
      <c r="Y19" s="5"/>
      <c r="Z19" s="5"/>
    </row>
    <row r="20" ht="18.75" customHeight="1">
      <c r="A20" s="5"/>
      <c r="B20" s="42">
        <v>11.0</v>
      </c>
      <c r="C20" s="42" t="s">
        <v>77</v>
      </c>
      <c r="D20" s="43" t="s">
        <v>78</v>
      </c>
      <c r="E20" s="84">
        <v>46270.0</v>
      </c>
      <c r="F20" s="49">
        <f t="shared" si="1"/>
        <v>7</v>
      </c>
      <c r="G20" s="85">
        <v>46270.0</v>
      </c>
      <c r="H20" s="49">
        <f t="shared" si="2"/>
        <v>7</v>
      </c>
      <c r="I20" s="62" t="str">
        <f t="shared" si="3"/>
        <v>Sắp đến hạn</v>
      </c>
      <c r="J20" s="86" t="s">
        <v>79</v>
      </c>
      <c r="K20" s="5"/>
      <c r="L20" s="5"/>
      <c r="M20" s="5"/>
      <c r="N20" s="5"/>
      <c r="O20" s="5"/>
      <c r="P20" s="5"/>
      <c r="Q20" s="5"/>
      <c r="R20" s="5"/>
      <c r="S20" s="5"/>
      <c r="T20" s="5"/>
      <c r="U20" s="5"/>
      <c r="V20" s="5"/>
      <c r="W20" s="5"/>
      <c r="X20" s="5"/>
      <c r="Y20" s="5"/>
      <c r="Z20" s="5"/>
    </row>
    <row r="21" ht="18.75" customHeight="1">
      <c r="A21" s="5"/>
      <c r="B21" s="42">
        <v>12.0</v>
      </c>
      <c r="C21" s="42" t="s">
        <v>80</v>
      </c>
      <c r="D21" s="43" t="s">
        <v>81</v>
      </c>
      <c r="E21" s="84">
        <v>46270.0</v>
      </c>
      <c r="F21" s="49">
        <f t="shared" si="1"/>
        <v>7</v>
      </c>
      <c r="G21" s="85">
        <v>46270.0</v>
      </c>
      <c r="H21" s="49">
        <f t="shared" si="2"/>
        <v>7</v>
      </c>
      <c r="I21" s="62" t="str">
        <f t="shared" si="3"/>
        <v>Sắp đến hạn</v>
      </c>
      <c r="J21" s="86" t="s">
        <v>79</v>
      </c>
      <c r="K21" s="5"/>
      <c r="L21" s="5"/>
      <c r="M21" s="5"/>
      <c r="N21" s="5"/>
      <c r="O21" s="5"/>
      <c r="P21" s="5"/>
      <c r="Q21" s="5"/>
      <c r="R21" s="5"/>
      <c r="S21" s="5"/>
      <c r="T21" s="5"/>
      <c r="U21" s="5"/>
      <c r="V21" s="5"/>
      <c r="W21" s="5"/>
      <c r="X21" s="5"/>
      <c r="Y21" s="5"/>
      <c r="Z21" s="5"/>
    </row>
    <row r="22" ht="18.75" customHeight="1">
      <c r="A22" s="5"/>
      <c r="B22" s="42">
        <v>13.0</v>
      </c>
      <c r="C22" s="42" t="s">
        <v>83</v>
      </c>
      <c r="D22" s="43" t="s">
        <v>84</v>
      </c>
      <c r="E22" s="84">
        <v>46282.0</v>
      </c>
      <c r="F22" s="49">
        <f t="shared" si="1"/>
        <v>19</v>
      </c>
      <c r="G22" s="85">
        <v>46282.0</v>
      </c>
      <c r="H22" s="49">
        <f t="shared" si="2"/>
        <v>19</v>
      </c>
      <c r="I22" s="62" t="str">
        <f t="shared" si="3"/>
        <v>Gần tới hạn</v>
      </c>
      <c r="J22" s="86"/>
      <c r="K22" s="5"/>
      <c r="L22" s="5"/>
      <c r="M22" s="5"/>
      <c r="N22" s="5"/>
      <c r="O22" s="5"/>
      <c r="P22" s="5"/>
      <c r="Q22" s="5"/>
      <c r="R22" s="5"/>
      <c r="S22" s="5"/>
      <c r="T22" s="5"/>
      <c r="U22" s="5"/>
      <c r="V22" s="5"/>
      <c r="W22" s="5"/>
      <c r="X22" s="5"/>
      <c r="Y22" s="5"/>
      <c r="Z22" s="5"/>
    </row>
    <row r="23" ht="18.75" customHeight="1">
      <c r="A23" s="5"/>
      <c r="B23" s="42">
        <v>14.0</v>
      </c>
      <c r="C23" s="42" t="s">
        <v>85</v>
      </c>
      <c r="D23" s="43" t="s">
        <v>86</v>
      </c>
      <c r="E23" s="84">
        <v>46282.0</v>
      </c>
      <c r="F23" s="49">
        <f t="shared" si="1"/>
        <v>19</v>
      </c>
      <c r="G23" s="85">
        <v>46282.0</v>
      </c>
      <c r="H23" s="49">
        <f t="shared" si="2"/>
        <v>19</v>
      </c>
      <c r="I23" s="62" t="str">
        <f t="shared" si="3"/>
        <v>Gần tới hạn</v>
      </c>
      <c r="J23" s="67"/>
      <c r="K23" s="5"/>
      <c r="L23" s="5"/>
      <c r="M23" s="5"/>
      <c r="N23" s="5"/>
      <c r="O23" s="5"/>
      <c r="P23" s="5"/>
      <c r="Q23" s="5"/>
      <c r="R23" s="5"/>
      <c r="S23" s="5"/>
      <c r="T23" s="5"/>
      <c r="U23" s="5"/>
      <c r="V23" s="5"/>
      <c r="W23" s="5"/>
      <c r="X23" s="5"/>
      <c r="Y23" s="5"/>
      <c r="Z23" s="5"/>
    </row>
    <row r="24" ht="18.75" customHeight="1">
      <c r="A24" s="5"/>
      <c r="B24" s="42">
        <v>15.0</v>
      </c>
      <c r="C24" s="42" t="s">
        <v>87</v>
      </c>
      <c r="D24" s="43" t="s">
        <v>88</v>
      </c>
      <c r="E24" s="89">
        <v>46343.0</v>
      </c>
      <c r="F24" s="49">
        <f t="shared" si="1"/>
        <v>80</v>
      </c>
      <c r="G24" s="90">
        <v>46343.0</v>
      </c>
      <c r="H24" s="49">
        <f t="shared" si="2"/>
        <v>80</v>
      </c>
      <c r="I24" s="62" t="str">
        <f t="shared" si="3"/>
        <v>Còn xa</v>
      </c>
      <c r="J24" s="67"/>
      <c r="K24" s="5"/>
      <c r="L24" s="5"/>
      <c r="M24" s="5"/>
      <c r="N24" s="5"/>
      <c r="O24" s="5"/>
      <c r="P24" s="5"/>
      <c r="Q24" s="5"/>
      <c r="R24" s="5"/>
      <c r="S24" s="5"/>
      <c r="T24" s="5"/>
      <c r="U24" s="5"/>
      <c r="V24" s="5"/>
      <c r="W24" s="5"/>
      <c r="X24" s="5"/>
      <c r="Y24" s="5"/>
      <c r="Z24" s="5"/>
    </row>
    <row r="25" ht="18.75" customHeight="1">
      <c r="A25" s="5"/>
      <c r="B25" s="42">
        <v>16.0</v>
      </c>
      <c r="C25" s="42" t="s">
        <v>91</v>
      </c>
      <c r="D25" s="43" t="s">
        <v>92</v>
      </c>
      <c r="E25" s="89">
        <v>46268.0</v>
      </c>
      <c r="F25" s="49">
        <f t="shared" si="1"/>
        <v>5</v>
      </c>
      <c r="G25" s="92">
        <v>46268.0</v>
      </c>
      <c r="H25" s="49">
        <f t="shared" si="2"/>
        <v>5</v>
      </c>
      <c r="I25" s="62" t="str">
        <f t="shared" si="3"/>
        <v>Sắp đến hạn</v>
      </c>
      <c r="J25" s="67"/>
      <c r="K25" s="5"/>
      <c r="L25" s="5"/>
      <c r="M25" s="5"/>
      <c r="N25" s="5"/>
      <c r="O25" s="5"/>
      <c r="P25" s="5"/>
      <c r="Q25" s="5"/>
      <c r="R25" s="5"/>
      <c r="S25" s="5"/>
      <c r="T25" s="5"/>
      <c r="U25" s="5"/>
      <c r="V25" s="5"/>
      <c r="W25" s="5"/>
      <c r="X25" s="5"/>
      <c r="Y25" s="5"/>
      <c r="Z25" s="5"/>
    </row>
    <row r="26" ht="18.75" customHeight="1">
      <c r="A26" s="5"/>
      <c r="B26" s="42">
        <v>17.0</v>
      </c>
      <c r="C26" s="42" t="s">
        <v>94</v>
      </c>
      <c r="D26" s="43" t="s">
        <v>95</v>
      </c>
      <c r="E26" s="79">
        <v>46273.0</v>
      </c>
      <c r="F26" s="49">
        <f t="shared" si="1"/>
        <v>10</v>
      </c>
      <c r="G26" s="80">
        <v>46273.0</v>
      </c>
      <c r="H26" s="49">
        <f t="shared" si="2"/>
        <v>10</v>
      </c>
      <c r="I26" s="62" t="str">
        <f t="shared" si="3"/>
        <v>Sắp đến hạn</v>
      </c>
      <c r="J26" s="67"/>
      <c r="K26" s="5"/>
      <c r="L26" s="5"/>
      <c r="M26" s="5"/>
      <c r="N26" s="5"/>
      <c r="O26" s="5"/>
      <c r="P26" s="5"/>
      <c r="Q26" s="5"/>
      <c r="R26" s="5"/>
      <c r="S26" s="5"/>
      <c r="T26" s="5"/>
      <c r="U26" s="5"/>
      <c r="V26" s="5"/>
      <c r="W26" s="5"/>
      <c r="X26" s="5"/>
      <c r="Y26" s="5"/>
      <c r="Z26" s="5"/>
    </row>
    <row r="27" ht="18.75" customHeight="1">
      <c r="A27" s="5"/>
      <c r="B27" s="42">
        <v>18.0</v>
      </c>
      <c r="C27" s="42" t="s">
        <v>96</v>
      </c>
      <c r="D27" s="43" t="s">
        <v>97</v>
      </c>
      <c r="E27" s="79">
        <v>46273.0</v>
      </c>
      <c r="F27" s="49">
        <f t="shared" si="1"/>
        <v>10</v>
      </c>
      <c r="G27" s="80">
        <v>46273.0</v>
      </c>
      <c r="H27" s="49">
        <f t="shared" si="2"/>
        <v>10</v>
      </c>
      <c r="I27" s="62" t="str">
        <f t="shared" si="3"/>
        <v>Sắp đến hạn</v>
      </c>
      <c r="J27" s="67"/>
      <c r="K27" s="5"/>
      <c r="L27" s="5"/>
      <c r="M27" s="5"/>
      <c r="N27" s="5"/>
      <c r="O27" s="5"/>
      <c r="P27" s="5"/>
      <c r="Q27" s="5"/>
      <c r="R27" s="5"/>
      <c r="S27" s="5"/>
      <c r="T27" s="5"/>
      <c r="U27" s="5"/>
      <c r="V27" s="5"/>
      <c r="W27" s="5"/>
      <c r="X27" s="5"/>
      <c r="Y27" s="5"/>
      <c r="Z27" s="5"/>
    </row>
    <row r="28" ht="18.75" customHeight="1">
      <c r="A28" s="5"/>
      <c r="B28" s="42">
        <v>19.0</v>
      </c>
      <c r="C28" s="42" t="s">
        <v>98</v>
      </c>
      <c r="D28" s="43" t="s">
        <v>99</v>
      </c>
      <c r="E28" s="79">
        <v>46295.0</v>
      </c>
      <c r="F28" s="49">
        <f t="shared" si="1"/>
        <v>32</v>
      </c>
      <c r="G28" s="80">
        <v>46295.0</v>
      </c>
      <c r="H28" s="49">
        <f t="shared" si="2"/>
        <v>32</v>
      </c>
      <c r="I28" s="62" t="str">
        <f t="shared" si="3"/>
        <v>Còn xa</v>
      </c>
      <c r="J28" s="67"/>
      <c r="K28" s="5"/>
      <c r="L28" s="5"/>
      <c r="M28" s="5"/>
      <c r="N28" s="5"/>
      <c r="O28" s="5"/>
      <c r="P28" s="5"/>
      <c r="Q28" s="5"/>
      <c r="R28" s="5"/>
      <c r="S28" s="5"/>
      <c r="T28" s="5"/>
      <c r="U28" s="5"/>
      <c r="V28" s="5"/>
      <c r="W28" s="5"/>
      <c r="X28" s="5"/>
      <c r="Y28" s="5"/>
      <c r="Z28" s="5"/>
    </row>
    <row r="29" ht="18.75" customHeight="1">
      <c r="A29" s="5"/>
      <c r="B29" s="42">
        <v>20.0</v>
      </c>
      <c r="C29" s="42" t="s">
        <v>101</v>
      </c>
      <c r="D29" s="43" t="s">
        <v>102</v>
      </c>
      <c r="E29" s="44">
        <v>46331.0</v>
      </c>
      <c r="F29" s="49">
        <f t="shared" si="1"/>
        <v>68</v>
      </c>
      <c r="G29" s="50">
        <v>46331.0</v>
      </c>
      <c r="H29" s="49">
        <f t="shared" si="2"/>
        <v>68</v>
      </c>
      <c r="I29" s="62" t="str">
        <f t="shared" si="3"/>
        <v>Còn xa</v>
      </c>
      <c r="J29" s="67"/>
      <c r="K29" s="5"/>
      <c r="L29" s="5"/>
      <c r="M29" s="5"/>
      <c r="N29" s="5"/>
      <c r="O29" s="5"/>
      <c r="P29" s="5"/>
      <c r="Q29" s="5"/>
      <c r="R29" s="5"/>
      <c r="S29" s="5"/>
      <c r="T29" s="5"/>
      <c r="U29" s="5"/>
      <c r="V29" s="5"/>
      <c r="W29" s="5"/>
      <c r="X29" s="5"/>
      <c r="Y29" s="5"/>
      <c r="Z29" s="5"/>
    </row>
    <row r="30" ht="18.75" customHeight="1">
      <c r="A30" s="5"/>
      <c r="B30" s="42">
        <v>21.0</v>
      </c>
      <c r="C30" s="42" t="s">
        <v>104</v>
      </c>
      <c r="D30" s="43" t="s">
        <v>106</v>
      </c>
      <c r="E30" s="98">
        <v>46281.0</v>
      </c>
      <c r="F30" s="49">
        <f t="shared" si="1"/>
        <v>18</v>
      </c>
      <c r="G30" s="101">
        <v>46281.0</v>
      </c>
      <c r="H30" s="49">
        <f t="shared" si="2"/>
        <v>18</v>
      </c>
      <c r="I30" s="62" t="str">
        <f t="shared" si="3"/>
        <v>Gần tới hạn</v>
      </c>
      <c r="J30" s="67"/>
      <c r="K30" s="5"/>
      <c r="L30" s="5"/>
      <c r="M30" s="5"/>
      <c r="N30" s="5"/>
      <c r="O30" s="5"/>
      <c r="P30" s="5"/>
      <c r="Q30" s="5"/>
      <c r="R30" s="5"/>
      <c r="S30" s="5"/>
      <c r="T30" s="5"/>
      <c r="U30" s="5"/>
      <c r="V30" s="5"/>
      <c r="W30" s="5"/>
      <c r="X30" s="5"/>
      <c r="Y30" s="5"/>
      <c r="Z30" s="5"/>
    </row>
    <row r="31" ht="18.75" customHeight="1">
      <c r="A31" s="5"/>
      <c r="B31" s="42">
        <v>22.0</v>
      </c>
      <c r="C31" s="42" t="s">
        <v>108</v>
      </c>
      <c r="D31" s="103" t="s">
        <v>109</v>
      </c>
      <c r="E31" s="44">
        <v>46424.0</v>
      </c>
      <c r="F31" s="49">
        <f t="shared" si="1"/>
        <v>161</v>
      </c>
      <c r="G31" s="50">
        <v>46424.0</v>
      </c>
      <c r="H31" s="49">
        <f t="shared" si="2"/>
        <v>161</v>
      </c>
      <c r="I31" s="62" t="str">
        <f t="shared" si="3"/>
        <v>Còn xa</v>
      </c>
      <c r="J31" s="67"/>
      <c r="K31" s="5"/>
      <c r="L31" s="5"/>
      <c r="M31" s="5"/>
      <c r="N31" s="5"/>
      <c r="O31" s="5"/>
      <c r="P31" s="5"/>
      <c r="Q31" s="5"/>
      <c r="R31" s="5"/>
      <c r="S31" s="5"/>
      <c r="T31" s="5"/>
      <c r="U31" s="5"/>
      <c r="V31" s="5"/>
      <c r="W31" s="5"/>
      <c r="X31" s="5"/>
      <c r="Y31" s="5"/>
      <c r="Z31" s="5"/>
    </row>
    <row r="32" ht="18.75" customHeight="1">
      <c r="A32" s="5"/>
      <c r="B32" s="42">
        <v>23.0</v>
      </c>
      <c r="C32" s="42" t="s">
        <v>111</v>
      </c>
      <c r="D32" s="43" t="s">
        <v>112</v>
      </c>
      <c r="E32" s="105">
        <v>46267.0</v>
      </c>
      <c r="F32" s="49">
        <f t="shared" si="1"/>
        <v>4</v>
      </c>
      <c r="G32" s="106">
        <v>46424.0</v>
      </c>
      <c r="H32" s="49">
        <f t="shared" si="2"/>
        <v>161</v>
      </c>
      <c r="I32" s="62" t="str">
        <f t="shared" si="3"/>
        <v>Sắp đến hạn</v>
      </c>
      <c r="J32" s="67"/>
      <c r="K32" s="5"/>
      <c r="L32" s="5"/>
      <c r="M32" s="5"/>
      <c r="N32" s="5"/>
      <c r="O32" s="5"/>
      <c r="P32" s="5"/>
      <c r="Q32" s="5"/>
      <c r="R32" s="5"/>
      <c r="S32" s="5"/>
      <c r="T32" s="5"/>
      <c r="U32" s="5"/>
      <c r="V32" s="5"/>
      <c r="W32" s="5"/>
      <c r="X32" s="5"/>
      <c r="Y32" s="5"/>
      <c r="Z32" s="5"/>
    </row>
    <row r="33" ht="18.75" customHeight="1">
      <c r="A33" s="5"/>
      <c r="B33" s="42">
        <v>24.0</v>
      </c>
      <c r="C33" s="42" t="s">
        <v>114</v>
      </c>
      <c r="D33" s="43" t="s">
        <v>115</v>
      </c>
      <c r="E33" s="105">
        <v>46275.0</v>
      </c>
      <c r="F33" s="49">
        <f t="shared" si="1"/>
        <v>12</v>
      </c>
      <c r="G33" s="106">
        <v>46270.0</v>
      </c>
      <c r="H33" s="49">
        <f t="shared" si="2"/>
        <v>7</v>
      </c>
      <c r="I33" s="62" t="str">
        <f t="shared" si="3"/>
        <v>Sắp đến hạn</v>
      </c>
      <c r="J33" s="67"/>
      <c r="K33" s="5"/>
      <c r="L33" s="5"/>
      <c r="M33" s="5"/>
      <c r="N33" s="5"/>
      <c r="O33" s="5"/>
      <c r="P33" s="5"/>
      <c r="Q33" s="5"/>
      <c r="R33" s="5"/>
      <c r="S33" s="5"/>
      <c r="T33" s="5"/>
      <c r="U33" s="5"/>
      <c r="V33" s="5"/>
      <c r="W33" s="5"/>
      <c r="X33" s="5"/>
      <c r="Y33" s="5"/>
      <c r="Z33" s="5"/>
    </row>
    <row r="34" ht="18.75" customHeight="1">
      <c r="A34" s="5"/>
      <c r="B34" s="107">
        <v>25.0</v>
      </c>
      <c r="C34" s="107" t="s">
        <v>117</v>
      </c>
      <c r="D34" s="103" t="s">
        <v>118</v>
      </c>
      <c r="E34" s="108">
        <v>46416.0</v>
      </c>
      <c r="F34" s="49">
        <f t="shared" si="1"/>
        <v>153</v>
      </c>
      <c r="G34" s="108">
        <v>46416.0</v>
      </c>
      <c r="H34" s="49">
        <f t="shared" si="2"/>
        <v>153</v>
      </c>
      <c r="I34" s="62" t="str">
        <f t="shared" si="3"/>
        <v>Còn xa</v>
      </c>
      <c r="J34" s="67"/>
      <c r="K34" s="5"/>
      <c r="L34" s="5"/>
      <c r="M34" s="5"/>
      <c r="N34" s="5"/>
      <c r="O34" s="5"/>
      <c r="P34" s="5"/>
      <c r="Q34" s="5"/>
      <c r="R34" s="5"/>
      <c r="S34" s="5"/>
      <c r="T34" s="5"/>
      <c r="U34" s="5"/>
      <c r="V34" s="5"/>
      <c r="W34" s="5"/>
      <c r="X34" s="5"/>
      <c r="Y34" s="5"/>
      <c r="Z34" s="5"/>
    </row>
    <row r="35" ht="21.75" customHeight="1">
      <c r="A35" s="5"/>
      <c r="B35" s="109"/>
      <c r="C35" s="109"/>
      <c r="D35" s="109"/>
      <c r="E35" s="109"/>
      <c r="F35" s="109"/>
      <c r="G35" s="5"/>
      <c r="H35" s="5"/>
      <c r="I35" s="5"/>
      <c r="J35" s="5"/>
      <c r="K35" s="5"/>
      <c r="L35" s="5"/>
      <c r="M35" s="5"/>
      <c r="N35" s="5"/>
      <c r="O35" s="5"/>
      <c r="P35" s="5"/>
      <c r="Q35" s="5"/>
      <c r="R35" s="5"/>
      <c r="S35" s="5"/>
      <c r="T35" s="5"/>
      <c r="U35" s="5"/>
      <c r="V35" s="5"/>
      <c r="W35" s="5"/>
      <c r="X35" s="5"/>
      <c r="Y35" s="5"/>
      <c r="Z35" s="5"/>
    </row>
    <row r="36" ht="21.75" customHeight="1">
      <c r="A36" s="5"/>
      <c r="B36" s="110" t="s">
        <v>119</v>
      </c>
      <c r="C36" s="111"/>
      <c r="D36" s="111"/>
      <c r="E36" s="111"/>
      <c r="F36" s="112"/>
      <c r="G36" s="5"/>
      <c r="H36" s="5"/>
      <c r="I36" s="5"/>
      <c r="J36" s="5"/>
      <c r="K36" s="5"/>
      <c r="L36" s="5"/>
      <c r="M36" s="5"/>
      <c r="N36" s="5"/>
      <c r="O36" s="5"/>
      <c r="P36" s="5"/>
      <c r="Q36" s="5"/>
      <c r="R36" s="5"/>
      <c r="S36" s="5"/>
      <c r="T36" s="5"/>
      <c r="U36" s="5"/>
      <c r="V36" s="5"/>
      <c r="W36" s="5"/>
      <c r="X36" s="5"/>
      <c r="Y36" s="5"/>
      <c r="Z36" s="5"/>
    </row>
    <row r="37" ht="24.0" customHeight="1">
      <c r="A37" s="5"/>
      <c r="B37" s="14" t="s">
        <v>7</v>
      </c>
      <c r="C37" s="14" t="s">
        <v>9</v>
      </c>
      <c r="D37" s="14" t="s">
        <v>122</v>
      </c>
      <c r="E37" s="14" t="s">
        <v>44</v>
      </c>
      <c r="F37" s="14" t="s">
        <v>18</v>
      </c>
      <c r="G37" s="14" t="s">
        <v>19</v>
      </c>
      <c r="H37" s="5"/>
      <c r="I37" s="5"/>
      <c r="J37" s="5"/>
      <c r="K37" s="5"/>
      <c r="L37" s="5"/>
      <c r="M37" s="5"/>
      <c r="N37" s="5"/>
      <c r="O37" s="5"/>
      <c r="P37" s="5"/>
      <c r="Q37" s="5"/>
      <c r="R37" s="5"/>
      <c r="S37" s="5"/>
      <c r="T37" s="5"/>
      <c r="U37" s="5"/>
      <c r="V37" s="5"/>
      <c r="W37" s="5"/>
      <c r="X37" s="5"/>
      <c r="Y37" s="5"/>
      <c r="Z37" s="5"/>
    </row>
    <row r="38" ht="15.0" customHeight="1">
      <c r="A38" s="5"/>
      <c r="B38" s="42">
        <v>1.0</v>
      </c>
      <c r="C38" s="42" t="s">
        <v>21</v>
      </c>
      <c r="D38" s="44">
        <v>46484.0</v>
      </c>
      <c r="E38" s="49">
        <f t="shared" ref="E38:E62" si="4">IF(D38="","",D38-TODAY())</f>
        <v>221</v>
      </c>
      <c r="F38" s="62" t="str">
        <f t="shared" ref="F38:F62" si="5">IF(D38="","Chưa có ngày",IF(E38&lt;=$G$6,"Sắp đến hạn",IF(E38&lt;=$E$6,"Gần tới hạn","Còn xa")))</f>
        <v>Còn xa</v>
      </c>
      <c r="G38" s="67"/>
      <c r="H38" s="5"/>
      <c r="I38" s="5"/>
      <c r="J38" s="5"/>
      <c r="K38" s="5"/>
      <c r="L38" s="5"/>
      <c r="M38" s="5"/>
      <c r="N38" s="5"/>
      <c r="O38" s="5"/>
      <c r="P38" s="5"/>
      <c r="Q38" s="5"/>
      <c r="R38" s="5"/>
      <c r="S38" s="5"/>
      <c r="T38" s="5"/>
      <c r="U38" s="5"/>
      <c r="V38" s="5"/>
      <c r="W38" s="5"/>
      <c r="X38" s="5"/>
      <c r="Y38" s="5"/>
      <c r="Z38" s="5"/>
    </row>
    <row r="39" ht="15.0" customHeight="1">
      <c r="A39" s="5"/>
      <c r="B39" s="42">
        <v>2.0</v>
      </c>
      <c r="C39" s="42" t="s">
        <v>55</v>
      </c>
      <c r="D39" s="44">
        <v>46519.0</v>
      </c>
      <c r="E39" s="49">
        <f t="shared" si="4"/>
        <v>256</v>
      </c>
      <c r="F39" s="62" t="str">
        <f t="shared" si="5"/>
        <v>Còn xa</v>
      </c>
      <c r="G39" s="67"/>
      <c r="H39" s="5"/>
      <c r="I39" s="5"/>
      <c r="J39" s="5"/>
      <c r="K39" s="5"/>
      <c r="L39" s="5"/>
      <c r="M39" s="5"/>
      <c r="N39" s="5"/>
      <c r="O39" s="5"/>
      <c r="P39" s="5"/>
      <c r="Q39" s="5"/>
      <c r="R39" s="5"/>
      <c r="S39" s="5"/>
      <c r="T39" s="5"/>
      <c r="U39" s="5"/>
      <c r="V39" s="5"/>
      <c r="W39" s="5"/>
      <c r="X39" s="5"/>
      <c r="Y39" s="5"/>
      <c r="Z39" s="5"/>
    </row>
    <row r="40" ht="15.0" customHeight="1">
      <c r="A40" s="5"/>
      <c r="B40" s="42">
        <v>3.0</v>
      </c>
      <c r="C40" s="42" t="s">
        <v>57</v>
      </c>
      <c r="D40" s="114">
        <v>46553.0</v>
      </c>
      <c r="E40" s="49">
        <f t="shared" si="4"/>
        <v>290</v>
      </c>
      <c r="F40" s="62" t="str">
        <f t="shared" si="5"/>
        <v>Còn xa</v>
      </c>
      <c r="G40" s="67"/>
      <c r="H40" s="5"/>
      <c r="I40" s="5"/>
      <c r="J40" s="5"/>
      <c r="K40" s="5"/>
      <c r="L40" s="5"/>
      <c r="M40" s="5"/>
      <c r="N40" s="5"/>
      <c r="O40" s="5"/>
      <c r="P40" s="5"/>
      <c r="Q40" s="5"/>
      <c r="R40" s="5"/>
      <c r="S40" s="5"/>
      <c r="T40" s="5"/>
      <c r="U40" s="5"/>
      <c r="V40" s="5"/>
      <c r="W40" s="5"/>
      <c r="X40" s="5"/>
      <c r="Y40" s="5"/>
      <c r="Z40" s="5"/>
    </row>
    <row r="41" ht="15.0" customHeight="1">
      <c r="A41" s="5"/>
      <c r="B41" s="42">
        <v>4.0</v>
      </c>
      <c r="C41" s="42" t="s">
        <v>60</v>
      </c>
      <c r="D41" s="114">
        <v>46595.0</v>
      </c>
      <c r="E41" s="49">
        <f t="shared" si="4"/>
        <v>332</v>
      </c>
      <c r="F41" s="62" t="str">
        <f t="shared" si="5"/>
        <v>Còn xa</v>
      </c>
      <c r="G41" s="67"/>
      <c r="H41" s="5"/>
      <c r="I41" s="5"/>
      <c r="J41" s="5"/>
      <c r="K41" s="5"/>
      <c r="L41" s="5"/>
      <c r="M41" s="5"/>
      <c r="N41" s="5"/>
      <c r="O41" s="5"/>
      <c r="P41" s="5"/>
      <c r="Q41" s="5"/>
      <c r="R41" s="5"/>
      <c r="S41" s="5"/>
      <c r="T41" s="5"/>
      <c r="U41" s="5"/>
      <c r="V41" s="5"/>
      <c r="W41" s="5"/>
      <c r="X41" s="5"/>
      <c r="Y41" s="5"/>
      <c r="Z41" s="5"/>
    </row>
    <row r="42" ht="15.0" customHeight="1">
      <c r="A42" s="5"/>
      <c r="B42" s="42">
        <v>5.0</v>
      </c>
      <c r="C42" s="42" t="s">
        <v>63</v>
      </c>
      <c r="D42" s="114">
        <v>46624.0</v>
      </c>
      <c r="E42" s="49">
        <f t="shared" si="4"/>
        <v>361</v>
      </c>
      <c r="F42" s="62" t="str">
        <f t="shared" si="5"/>
        <v>Còn xa</v>
      </c>
      <c r="G42" s="67"/>
      <c r="H42" s="5"/>
      <c r="I42" s="5"/>
      <c r="J42" s="5"/>
      <c r="K42" s="5"/>
      <c r="L42" s="5"/>
      <c r="M42" s="5"/>
      <c r="N42" s="5"/>
      <c r="O42" s="5"/>
      <c r="P42" s="5"/>
      <c r="Q42" s="5"/>
      <c r="R42" s="5"/>
      <c r="S42" s="5"/>
      <c r="T42" s="5"/>
      <c r="U42" s="5"/>
      <c r="V42" s="5"/>
      <c r="W42" s="5"/>
      <c r="X42" s="5"/>
      <c r="Y42" s="5"/>
      <c r="Z42" s="5"/>
    </row>
    <row r="43" ht="15.0" customHeight="1">
      <c r="A43" s="5"/>
      <c r="B43" s="42">
        <v>6.0</v>
      </c>
      <c r="C43" s="42" t="s">
        <v>66</v>
      </c>
      <c r="D43" s="114">
        <v>46308.0</v>
      </c>
      <c r="E43" s="49">
        <f t="shared" si="4"/>
        <v>45</v>
      </c>
      <c r="F43" s="62" t="str">
        <f t="shared" si="5"/>
        <v>Còn xa</v>
      </c>
      <c r="G43" s="67"/>
      <c r="H43" s="5"/>
      <c r="I43" s="5"/>
      <c r="J43" s="5"/>
      <c r="K43" s="5"/>
      <c r="L43" s="5"/>
      <c r="M43" s="5"/>
      <c r="N43" s="5"/>
      <c r="O43" s="5"/>
      <c r="P43" s="5"/>
      <c r="Q43" s="5"/>
      <c r="R43" s="5"/>
      <c r="S43" s="5"/>
      <c r="T43" s="5"/>
      <c r="U43" s="5"/>
      <c r="V43" s="5"/>
      <c r="W43" s="5"/>
      <c r="X43" s="5"/>
      <c r="Y43" s="5"/>
      <c r="Z43" s="5"/>
    </row>
    <row r="44" ht="15.0" customHeight="1">
      <c r="A44" s="5"/>
      <c r="B44" s="42">
        <v>7.0</v>
      </c>
      <c r="C44" s="42" t="s">
        <v>68</v>
      </c>
      <c r="D44" s="114">
        <v>46345.0</v>
      </c>
      <c r="E44" s="49">
        <f t="shared" si="4"/>
        <v>82</v>
      </c>
      <c r="F44" s="62" t="str">
        <f t="shared" si="5"/>
        <v>Còn xa</v>
      </c>
      <c r="G44" s="67"/>
      <c r="H44" s="5"/>
      <c r="I44" s="5"/>
      <c r="J44" s="5"/>
      <c r="K44" s="5"/>
      <c r="L44" s="5"/>
      <c r="M44" s="5"/>
      <c r="N44" s="5"/>
      <c r="O44" s="5"/>
      <c r="P44" s="5"/>
      <c r="Q44" s="5"/>
      <c r="R44" s="5"/>
      <c r="S44" s="5"/>
      <c r="T44" s="5"/>
      <c r="U44" s="5"/>
      <c r="V44" s="5"/>
      <c r="W44" s="5"/>
      <c r="X44" s="5"/>
      <c r="Y44" s="5"/>
      <c r="Z44" s="5"/>
    </row>
    <row r="45" ht="15.0" customHeight="1">
      <c r="A45" s="5"/>
      <c r="B45" s="42">
        <v>8.0</v>
      </c>
      <c r="C45" s="42" t="s">
        <v>70</v>
      </c>
      <c r="D45" s="114">
        <v>46405.0</v>
      </c>
      <c r="E45" s="49">
        <f t="shared" si="4"/>
        <v>142</v>
      </c>
      <c r="F45" s="62" t="str">
        <f t="shared" si="5"/>
        <v>Còn xa</v>
      </c>
      <c r="G45" s="67"/>
      <c r="H45" s="5"/>
      <c r="I45" s="5"/>
      <c r="J45" s="5"/>
      <c r="K45" s="5"/>
      <c r="L45" s="5"/>
      <c r="M45" s="5"/>
      <c r="N45" s="5"/>
      <c r="O45" s="5"/>
      <c r="P45" s="5"/>
      <c r="Q45" s="5"/>
      <c r="R45" s="5"/>
      <c r="S45" s="5"/>
      <c r="T45" s="5"/>
      <c r="U45" s="5"/>
      <c r="V45" s="5"/>
      <c r="W45" s="5"/>
      <c r="X45" s="5"/>
      <c r="Y45" s="5"/>
      <c r="Z45" s="5"/>
    </row>
    <row r="46" ht="15.0" customHeight="1">
      <c r="A46" s="5"/>
      <c r="B46" s="42">
        <v>9.0</v>
      </c>
      <c r="C46" s="42" t="s">
        <v>72</v>
      </c>
      <c r="D46" s="114">
        <v>46444.0</v>
      </c>
      <c r="E46" s="49">
        <f t="shared" si="4"/>
        <v>181</v>
      </c>
      <c r="F46" s="62" t="str">
        <f t="shared" si="5"/>
        <v>Còn xa</v>
      </c>
      <c r="G46" s="67"/>
      <c r="H46" s="5"/>
      <c r="I46" s="5"/>
      <c r="J46" s="5"/>
      <c r="K46" s="5"/>
      <c r="L46" s="5"/>
      <c r="M46" s="5"/>
      <c r="N46" s="5"/>
      <c r="O46" s="5"/>
      <c r="P46" s="5"/>
      <c r="Q46" s="5"/>
      <c r="R46" s="5"/>
      <c r="S46" s="5"/>
      <c r="T46" s="5"/>
      <c r="U46" s="5"/>
      <c r="V46" s="5"/>
      <c r="W46" s="5"/>
      <c r="X46" s="5"/>
      <c r="Y46" s="5"/>
      <c r="Z46" s="5"/>
    </row>
    <row r="47" ht="15.0" customHeight="1">
      <c r="A47" s="5"/>
      <c r="B47" s="42">
        <v>10.0</v>
      </c>
      <c r="C47" s="42" t="s">
        <v>75</v>
      </c>
      <c r="D47" s="114">
        <v>46444.0</v>
      </c>
      <c r="E47" s="49">
        <f t="shared" si="4"/>
        <v>181</v>
      </c>
      <c r="F47" s="62" t="str">
        <f t="shared" si="5"/>
        <v>Còn xa</v>
      </c>
      <c r="G47" s="67"/>
      <c r="H47" s="5"/>
      <c r="I47" s="5"/>
      <c r="J47" s="5"/>
      <c r="K47" s="5"/>
      <c r="L47" s="5"/>
      <c r="M47" s="5"/>
      <c r="N47" s="5"/>
      <c r="O47" s="5"/>
      <c r="P47" s="5"/>
      <c r="Q47" s="5"/>
      <c r="R47" s="5"/>
      <c r="S47" s="5"/>
      <c r="T47" s="5"/>
      <c r="U47" s="5"/>
      <c r="V47" s="5"/>
      <c r="W47" s="5"/>
      <c r="X47" s="5"/>
      <c r="Y47" s="5"/>
      <c r="Z47" s="5"/>
    </row>
    <row r="48" ht="15.0" customHeight="1">
      <c r="A48" s="5"/>
      <c r="B48" s="42">
        <v>11.0</v>
      </c>
      <c r="C48" s="42" t="s">
        <v>77</v>
      </c>
      <c r="D48" s="114">
        <v>46183.0</v>
      </c>
      <c r="E48" s="49">
        <f t="shared" si="4"/>
        <v>-80</v>
      </c>
      <c r="F48" s="62" t="str">
        <f t="shared" si="5"/>
        <v>Sắp đến hạn</v>
      </c>
      <c r="G48" s="67"/>
      <c r="H48" s="5"/>
      <c r="I48" s="5"/>
      <c r="J48" s="5"/>
      <c r="K48" s="5"/>
      <c r="L48" s="5"/>
      <c r="M48" s="5"/>
      <c r="N48" s="5"/>
      <c r="O48" s="5"/>
      <c r="P48" s="5"/>
      <c r="Q48" s="5"/>
      <c r="R48" s="5"/>
      <c r="S48" s="5"/>
      <c r="T48" s="5"/>
      <c r="U48" s="5"/>
      <c r="V48" s="5"/>
      <c r="W48" s="5"/>
      <c r="X48" s="5"/>
      <c r="Y48" s="5"/>
      <c r="Z48" s="5"/>
    </row>
    <row r="49" ht="15.0" customHeight="1">
      <c r="A49" s="5"/>
      <c r="B49" s="42">
        <v>12.0</v>
      </c>
      <c r="C49" s="42" t="s">
        <v>80</v>
      </c>
      <c r="D49" s="114">
        <v>46183.0</v>
      </c>
      <c r="E49" s="49">
        <f t="shared" si="4"/>
        <v>-80</v>
      </c>
      <c r="F49" s="62" t="str">
        <f t="shared" si="5"/>
        <v>Sắp đến hạn</v>
      </c>
      <c r="G49" s="67"/>
      <c r="H49" s="5"/>
      <c r="I49" s="5"/>
      <c r="J49" s="5"/>
      <c r="K49" s="5"/>
      <c r="L49" s="5"/>
      <c r="M49" s="5"/>
      <c r="N49" s="5"/>
      <c r="O49" s="5"/>
      <c r="P49" s="5"/>
      <c r="Q49" s="5"/>
      <c r="R49" s="5"/>
      <c r="S49" s="5"/>
      <c r="T49" s="5"/>
      <c r="U49" s="5"/>
      <c r="V49" s="5"/>
      <c r="W49" s="5"/>
      <c r="X49" s="5"/>
      <c r="Y49" s="5"/>
      <c r="Z49" s="5"/>
    </row>
    <row r="50" ht="15.0" customHeight="1">
      <c r="A50" s="5"/>
      <c r="B50" s="42">
        <v>13.0</v>
      </c>
      <c r="C50" s="42" t="s">
        <v>83</v>
      </c>
      <c r="D50" s="114">
        <v>46282.0</v>
      </c>
      <c r="E50" s="49">
        <f t="shared" si="4"/>
        <v>19</v>
      </c>
      <c r="F50" s="62" t="str">
        <f t="shared" si="5"/>
        <v>Gần tới hạn</v>
      </c>
      <c r="G50" s="67"/>
      <c r="H50" s="5"/>
      <c r="I50" s="5"/>
      <c r="J50" s="5"/>
      <c r="K50" s="5"/>
      <c r="L50" s="5"/>
      <c r="M50" s="5"/>
      <c r="N50" s="5"/>
      <c r="O50" s="5"/>
      <c r="P50" s="5"/>
      <c r="Q50" s="5"/>
      <c r="R50" s="5"/>
      <c r="S50" s="5"/>
      <c r="T50" s="5"/>
      <c r="U50" s="5"/>
      <c r="V50" s="5"/>
      <c r="W50" s="5"/>
      <c r="X50" s="5"/>
      <c r="Y50" s="5"/>
      <c r="Z50" s="5"/>
    </row>
    <row r="51" ht="15.0" customHeight="1">
      <c r="A51" s="5"/>
      <c r="B51" s="42">
        <v>14.0</v>
      </c>
      <c r="C51" s="42" t="s">
        <v>85</v>
      </c>
      <c r="D51" s="114">
        <v>46282.0</v>
      </c>
      <c r="E51" s="49">
        <f t="shared" si="4"/>
        <v>19</v>
      </c>
      <c r="F51" s="62" t="str">
        <f t="shared" si="5"/>
        <v>Gần tới hạn</v>
      </c>
      <c r="G51" s="67"/>
      <c r="H51" s="5"/>
      <c r="I51" s="5"/>
      <c r="J51" s="5"/>
      <c r="K51" s="5"/>
      <c r="L51" s="5"/>
      <c r="M51" s="5"/>
      <c r="N51" s="5"/>
      <c r="O51" s="5"/>
      <c r="P51" s="5"/>
      <c r="Q51" s="5"/>
      <c r="R51" s="5"/>
      <c r="S51" s="5"/>
      <c r="T51" s="5"/>
      <c r="U51" s="5"/>
      <c r="V51" s="5"/>
      <c r="W51" s="5"/>
      <c r="X51" s="5"/>
      <c r="Y51" s="5"/>
      <c r="Z51" s="5"/>
    </row>
    <row r="52" ht="15.0" customHeight="1">
      <c r="A52" s="5"/>
      <c r="B52" s="42">
        <v>15.0</v>
      </c>
      <c r="C52" s="42" t="s">
        <v>87</v>
      </c>
      <c r="D52" s="114">
        <v>46339.0</v>
      </c>
      <c r="E52" s="49">
        <f t="shared" si="4"/>
        <v>76</v>
      </c>
      <c r="F52" s="62" t="str">
        <f t="shared" si="5"/>
        <v>Còn xa</v>
      </c>
      <c r="G52" s="67"/>
      <c r="H52" s="5"/>
      <c r="I52" s="5"/>
      <c r="J52" s="5"/>
      <c r="K52" s="5"/>
      <c r="L52" s="5"/>
      <c r="M52" s="5"/>
      <c r="N52" s="5"/>
      <c r="O52" s="5"/>
      <c r="P52" s="5"/>
      <c r="Q52" s="5"/>
      <c r="R52" s="5"/>
      <c r="S52" s="5"/>
      <c r="T52" s="5"/>
      <c r="U52" s="5"/>
      <c r="V52" s="5"/>
      <c r="W52" s="5"/>
      <c r="X52" s="5"/>
      <c r="Y52" s="5"/>
      <c r="Z52" s="5"/>
    </row>
    <row r="53" ht="15.0" customHeight="1">
      <c r="A53" s="5"/>
      <c r="B53" s="42">
        <v>16.0</v>
      </c>
      <c r="C53" s="42" t="s">
        <v>91</v>
      </c>
      <c r="D53" s="114">
        <v>46318.0</v>
      </c>
      <c r="E53" s="49">
        <f t="shared" si="4"/>
        <v>55</v>
      </c>
      <c r="F53" s="62" t="str">
        <f t="shared" si="5"/>
        <v>Còn xa</v>
      </c>
      <c r="G53" s="67"/>
      <c r="H53" s="5"/>
      <c r="I53" s="5"/>
      <c r="J53" s="5"/>
      <c r="K53" s="5"/>
      <c r="L53" s="5"/>
      <c r="M53" s="5"/>
      <c r="N53" s="5"/>
      <c r="O53" s="5"/>
      <c r="P53" s="5"/>
      <c r="Q53" s="5"/>
      <c r="R53" s="5"/>
      <c r="S53" s="5"/>
      <c r="T53" s="5"/>
      <c r="U53" s="5"/>
      <c r="V53" s="5"/>
      <c r="W53" s="5"/>
      <c r="X53" s="5"/>
      <c r="Y53" s="5"/>
      <c r="Z53" s="5"/>
    </row>
    <row r="54" ht="15.0" customHeight="1">
      <c r="A54" s="5"/>
      <c r="B54" s="42">
        <v>17.0</v>
      </c>
      <c r="C54" s="42" t="s">
        <v>94</v>
      </c>
      <c r="D54" s="114">
        <v>46808.0</v>
      </c>
      <c r="E54" s="49">
        <f t="shared" si="4"/>
        <v>545</v>
      </c>
      <c r="F54" s="62" t="str">
        <f t="shared" si="5"/>
        <v>Còn xa</v>
      </c>
      <c r="G54" s="67"/>
      <c r="H54" s="5"/>
      <c r="I54" s="5"/>
      <c r="J54" s="5"/>
      <c r="K54" s="5"/>
      <c r="L54" s="5"/>
      <c r="M54" s="5"/>
      <c r="N54" s="5"/>
      <c r="O54" s="5"/>
      <c r="P54" s="5"/>
      <c r="Q54" s="5"/>
      <c r="R54" s="5"/>
      <c r="S54" s="5"/>
      <c r="T54" s="5"/>
      <c r="U54" s="5"/>
      <c r="V54" s="5"/>
      <c r="W54" s="5"/>
      <c r="X54" s="5"/>
      <c r="Y54" s="5"/>
      <c r="Z54" s="5"/>
    </row>
    <row r="55" ht="15.0" customHeight="1">
      <c r="A55" s="5"/>
      <c r="B55" s="42">
        <v>18.0</v>
      </c>
      <c r="C55" s="42" t="s">
        <v>96</v>
      </c>
      <c r="D55" s="114">
        <v>46808.0</v>
      </c>
      <c r="E55" s="49">
        <f t="shared" si="4"/>
        <v>545</v>
      </c>
      <c r="F55" s="62" t="str">
        <f t="shared" si="5"/>
        <v>Còn xa</v>
      </c>
      <c r="G55" s="67"/>
      <c r="H55" s="5"/>
      <c r="I55" s="5"/>
      <c r="J55" s="5"/>
      <c r="K55" s="5"/>
      <c r="L55" s="5"/>
      <c r="M55" s="5"/>
      <c r="N55" s="5"/>
      <c r="O55" s="5"/>
      <c r="P55" s="5"/>
      <c r="Q55" s="5"/>
      <c r="R55" s="5"/>
      <c r="S55" s="5"/>
      <c r="T55" s="5"/>
      <c r="U55" s="5"/>
      <c r="V55" s="5"/>
      <c r="W55" s="5"/>
      <c r="X55" s="5"/>
      <c r="Y55" s="5"/>
      <c r="Z55" s="5"/>
    </row>
    <row r="56" ht="15.0" customHeight="1">
      <c r="A56" s="5"/>
      <c r="B56" s="42">
        <v>19.0</v>
      </c>
      <c r="C56" s="42" t="s">
        <v>98</v>
      </c>
      <c r="D56" s="114">
        <v>46747.0</v>
      </c>
      <c r="E56" s="49">
        <f t="shared" si="4"/>
        <v>484</v>
      </c>
      <c r="F56" s="62" t="str">
        <f t="shared" si="5"/>
        <v>Còn xa</v>
      </c>
      <c r="G56" s="67"/>
      <c r="H56" s="5"/>
      <c r="I56" s="5"/>
      <c r="J56" s="5"/>
      <c r="K56" s="5"/>
      <c r="L56" s="5"/>
      <c r="M56" s="5"/>
      <c r="N56" s="5"/>
      <c r="O56" s="5"/>
      <c r="P56" s="5"/>
      <c r="Q56" s="5"/>
      <c r="R56" s="5"/>
      <c r="S56" s="5"/>
      <c r="T56" s="5"/>
      <c r="U56" s="5"/>
      <c r="V56" s="5"/>
      <c r="W56" s="5"/>
      <c r="X56" s="5"/>
      <c r="Y56" s="5"/>
      <c r="Z56" s="5"/>
    </row>
    <row r="57" ht="15.0" customHeight="1">
      <c r="A57" s="5"/>
      <c r="B57" s="42">
        <v>20.0</v>
      </c>
      <c r="C57" s="42" t="s">
        <v>101</v>
      </c>
      <c r="D57" s="130">
        <v>46401.0</v>
      </c>
      <c r="E57" s="49">
        <f t="shared" si="4"/>
        <v>138</v>
      </c>
      <c r="F57" s="62" t="str">
        <f t="shared" si="5"/>
        <v>Còn xa</v>
      </c>
      <c r="G57" s="67"/>
      <c r="H57" s="5"/>
      <c r="I57" s="5"/>
      <c r="J57" s="5"/>
      <c r="K57" s="5"/>
      <c r="L57" s="5"/>
      <c r="M57" s="5"/>
      <c r="N57" s="5"/>
      <c r="O57" s="5"/>
      <c r="P57" s="5"/>
      <c r="Q57" s="5"/>
      <c r="R57" s="5"/>
      <c r="S57" s="5"/>
      <c r="T57" s="5"/>
      <c r="U57" s="5"/>
      <c r="V57" s="5"/>
      <c r="W57" s="5"/>
      <c r="X57" s="5"/>
      <c r="Y57" s="5"/>
      <c r="Z57" s="5"/>
    </row>
    <row r="58" ht="15.0" customHeight="1">
      <c r="A58" s="5"/>
      <c r="B58" s="42">
        <v>21.0</v>
      </c>
      <c r="C58" s="42" t="s">
        <v>104</v>
      </c>
      <c r="D58" s="130">
        <v>46458.0</v>
      </c>
      <c r="E58" s="49">
        <f t="shared" si="4"/>
        <v>195</v>
      </c>
      <c r="F58" s="62" t="str">
        <f t="shared" si="5"/>
        <v>Còn xa</v>
      </c>
      <c r="G58" s="67"/>
      <c r="H58" s="5"/>
      <c r="I58" s="5"/>
      <c r="J58" s="5"/>
      <c r="K58" s="5"/>
      <c r="L58" s="5"/>
      <c r="M58" s="5"/>
      <c r="N58" s="5"/>
      <c r="O58" s="5"/>
      <c r="P58" s="5"/>
      <c r="Q58" s="5"/>
      <c r="R58" s="5"/>
      <c r="S58" s="5"/>
      <c r="T58" s="5"/>
      <c r="U58" s="5"/>
      <c r="V58" s="5"/>
      <c r="W58" s="5"/>
      <c r="X58" s="5"/>
      <c r="Y58" s="5"/>
      <c r="Z58" s="5"/>
    </row>
    <row r="59" ht="15.0" customHeight="1">
      <c r="A59" s="5"/>
      <c r="B59" s="42">
        <v>22.0</v>
      </c>
      <c r="C59" s="42" t="s">
        <v>108</v>
      </c>
      <c r="D59" s="114">
        <v>46497.0</v>
      </c>
      <c r="E59" s="49">
        <f t="shared" si="4"/>
        <v>234</v>
      </c>
      <c r="F59" s="62" t="str">
        <f t="shared" si="5"/>
        <v>Còn xa</v>
      </c>
      <c r="G59" s="67"/>
      <c r="H59" s="5"/>
      <c r="I59" s="5"/>
      <c r="J59" s="5"/>
      <c r="K59" s="5"/>
      <c r="L59" s="5"/>
      <c r="M59" s="5"/>
      <c r="N59" s="5"/>
      <c r="O59" s="5"/>
      <c r="P59" s="5"/>
      <c r="Q59" s="5"/>
      <c r="R59" s="5"/>
      <c r="S59" s="5"/>
      <c r="T59" s="5"/>
      <c r="U59" s="5"/>
      <c r="V59" s="5"/>
      <c r="W59" s="5"/>
      <c r="X59" s="5"/>
      <c r="Y59" s="5"/>
      <c r="Z59" s="5"/>
    </row>
    <row r="60" ht="15.0" customHeight="1">
      <c r="A60" s="5"/>
      <c r="B60" s="42">
        <v>23.0</v>
      </c>
      <c r="C60" s="42" t="s">
        <v>111</v>
      </c>
      <c r="D60" s="132">
        <v>46899.0</v>
      </c>
      <c r="E60" s="49">
        <f t="shared" si="4"/>
        <v>636</v>
      </c>
      <c r="F60" s="62" t="str">
        <f t="shared" si="5"/>
        <v>Còn xa</v>
      </c>
      <c r="G60" s="67"/>
      <c r="H60" s="5"/>
      <c r="I60" s="5"/>
      <c r="J60" s="5"/>
      <c r="K60" s="5"/>
      <c r="L60" s="5"/>
      <c r="M60" s="5"/>
      <c r="N60" s="5"/>
      <c r="O60" s="5"/>
      <c r="P60" s="5"/>
      <c r="Q60" s="5"/>
      <c r="R60" s="5"/>
      <c r="S60" s="5"/>
      <c r="T60" s="5"/>
      <c r="U60" s="5"/>
      <c r="V60" s="5"/>
      <c r="W60" s="5"/>
      <c r="X60" s="5"/>
      <c r="Y60" s="5"/>
      <c r="Z60" s="5"/>
    </row>
    <row r="61" ht="15.0" customHeight="1">
      <c r="A61" s="5"/>
      <c r="B61" s="42">
        <v>24.0</v>
      </c>
      <c r="C61" s="42" t="s">
        <v>114</v>
      </c>
      <c r="D61" s="132">
        <v>46899.0</v>
      </c>
      <c r="E61" s="49">
        <f t="shared" si="4"/>
        <v>636</v>
      </c>
      <c r="F61" s="62" t="str">
        <f t="shared" si="5"/>
        <v>Còn xa</v>
      </c>
      <c r="G61" s="67"/>
      <c r="H61" s="5"/>
      <c r="I61" s="5"/>
      <c r="J61" s="5"/>
      <c r="K61" s="5"/>
      <c r="L61" s="5"/>
      <c r="M61" s="5"/>
      <c r="N61" s="5"/>
      <c r="O61" s="5"/>
      <c r="P61" s="5"/>
      <c r="Q61" s="5"/>
      <c r="R61" s="5"/>
      <c r="S61" s="5"/>
      <c r="T61" s="5"/>
      <c r="U61" s="5"/>
      <c r="V61" s="5"/>
      <c r="W61" s="5"/>
      <c r="X61" s="5"/>
      <c r="Y61" s="5"/>
      <c r="Z61" s="5"/>
    </row>
    <row r="62" ht="15.0" customHeight="1">
      <c r="A62" s="5"/>
      <c r="B62" s="135">
        <v>25.0</v>
      </c>
      <c r="C62" s="135" t="s">
        <v>117</v>
      </c>
      <c r="D62" s="130">
        <v>46961.0</v>
      </c>
      <c r="E62" s="49">
        <f t="shared" si="4"/>
        <v>698</v>
      </c>
      <c r="F62" s="62" t="str">
        <f t="shared" si="5"/>
        <v>Còn xa</v>
      </c>
      <c r="G62" s="67"/>
      <c r="H62" s="5"/>
      <c r="I62" s="5"/>
      <c r="J62" s="5"/>
      <c r="K62" s="5"/>
      <c r="L62" s="5"/>
      <c r="M62" s="5"/>
      <c r="N62" s="5"/>
      <c r="O62" s="5"/>
      <c r="P62" s="5"/>
      <c r="Q62" s="5"/>
      <c r="R62" s="5"/>
      <c r="S62" s="5"/>
      <c r="T62" s="5"/>
      <c r="U62" s="5"/>
      <c r="V62" s="5"/>
      <c r="W62" s="5"/>
      <c r="X62" s="5"/>
      <c r="Y62" s="5"/>
      <c r="Z62" s="5"/>
    </row>
    <row r="63" ht="21.75" customHeight="1">
      <c r="A63" s="5"/>
      <c r="B63" s="10" t="s">
        <v>133</v>
      </c>
      <c r="C63" s="2"/>
      <c r="D63" s="2"/>
      <c r="E63" s="2"/>
      <c r="F63" s="2"/>
      <c r="G63" s="2"/>
      <c r="H63" s="2"/>
      <c r="I63" s="2"/>
      <c r="J63" s="4"/>
      <c r="K63" s="5"/>
      <c r="L63" s="5"/>
      <c r="M63" s="5"/>
      <c r="N63" s="5"/>
      <c r="O63" s="5"/>
      <c r="P63" s="5"/>
      <c r="Q63" s="5"/>
      <c r="R63" s="5"/>
      <c r="S63" s="5"/>
      <c r="T63" s="5"/>
      <c r="U63" s="5"/>
      <c r="V63" s="5"/>
      <c r="W63" s="5"/>
      <c r="X63" s="5"/>
      <c r="Y63" s="5"/>
      <c r="Z63" s="5"/>
    </row>
    <row r="64" ht="27.75" customHeight="1">
      <c r="A64" s="5"/>
      <c r="B64" s="14" t="s">
        <v>7</v>
      </c>
      <c r="C64" s="14" t="s">
        <v>134</v>
      </c>
      <c r="D64" s="14" t="s">
        <v>135</v>
      </c>
      <c r="E64" s="14" t="s">
        <v>44</v>
      </c>
      <c r="F64" s="14" t="s">
        <v>136</v>
      </c>
      <c r="G64" s="14" t="s">
        <v>137</v>
      </c>
      <c r="H64" s="14" t="s">
        <v>44</v>
      </c>
      <c r="I64" s="14" t="s">
        <v>18</v>
      </c>
      <c r="J64" s="14" t="s">
        <v>19</v>
      </c>
      <c r="K64" s="5"/>
      <c r="L64" s="5"/>
      <c r="M64" s="5"/>
      <c r="N64" s="5"/>
      <c r="O64" s="5"/>
      <c r="P64" s="5"/>
      <c r="Q64" s="5"/>
      <c r="R64" s="5"/>
      <c r="S64" s="5"/>
      <c r="T64" s="5"/>
      <c r="U64" s="5"/>
      <c r="V64" s="5"/>
      <c r="W64" s="5"/>
      <c r="X64" s="5"/>
      <c r="Y64" s="5"/>
      <c r="Z64" s="5"/>
    </row>
    <row r="65" ht="18.0" customHeight="1">
      <c r="A65" s="5"/>
      <c r="B65" s="42">
        <v>1.0</v>
      </c>
      <c r="C65" s="42" t="s">
        <v>21</v>
      </c>
      <c r="D65" s="50">
        <v>46482.0</v>
      </c>
      <c r="E65" s="49">
        <f t="shared" ref="E65:E89" si="6">IF(D65="","",D65-TODAY())</f>
        <v>219</v>
      </c>
      <c r="F65" s="43" t="s">
        <v>138</v>
      </c>
      <c r="G65" s="44">
        <v>46482.0</v>
      </c>
      <c r="H65" s="49">
        <f t="shared" ref="H65:H89" si="7">IF(G65="","",G65-TODAY())</f>
        <v>219</v>
      </c>
      <c r="I65" s="62" t="str">
        <f t="shared" ref="I65:I89" si="8">IF(OR(D65="",G65=""),"Chưa có ngày",IF(MIN(E65,H65)&lt;=$G$6,"Sắp đến hạn",IF(MIN(E65,H65)&lt;=$E$6,"Gần tới hạn","Còn xa")))</f>
        <v>Còn xa</v>
      </c>
      <c r="J65" s="67"/>
      <c r="K65" s="5"/>
      <c r="L65" s="5"/>
      <c r="M65" s="5"/>
      <c r="N65" s="5"/>
      <c r="O65" s="5"/>
      <c r="P65" s="5"/>
      <c r="Q65" s="5"/>
      <c r="R65" s="5"/>
      <c r="S65" s="5"/>
      <c r="T65" s="5"/>
      <c r="U65" s="5"/>
      <c r="V65" s="5"/>
      <c r="W65" s="5"/>
      <c r="X65" s="5"/>
      <c r="Y65" s="5"/>
      <c r="Z65" s="5"/>
    </row>
    <row r="66" ht="18.0" customHeight="1">
      <c r="A66" s="5"/>
      <c r="B66" s="42">
        <v>2.0</v>
      </c>
      <c r="C66" s="42" t="s">
        <v>55</v>
      </c>
      <c r="D66" s="50">
        <v>46518.0</v>
      </c>
      <c r="E66" s="49">
        <f t="shared" si="6"/>
        <v>255</v>
      </c>
      <c r="F66" s="43" t="s">
        <v>140</v>
      </c>
      <c r="G66" s="44">
        <v>46487.0</v>
      </c>
      <c r="H66" s="49">
        <f t="shared" si="7"/>
        <v>224</v>
      </c>
      <c r="I66" s="62" t="str">
        <f t="shared" si="8"/>
        <v>Còn xa</v>
      </c>
      <c r="J66" s="67"/>
      <c r="K66" s="5"/>
      <c r="L66" s="5"/>
      <c r="M66" s="5"/>
      <c r="N66" s="5"/>
      <c r="O66" s="5"/>
      <c r="P66" s="5"/>
      <c r="Q66" s="5"/>
      <c r="R66" s="5"/>
      <c r="S66" s="5"/>
      <c r="T66" s="5"/>
      <c r="U66" s="5"/>
      <c r="V66" s="5"/>
      <c r="W66" s="5"/>
      <c r="X66" s="5"/>
      <c r="Y66" s="5"/>
      <c r="Z66" s="5"/>
    </row>
    <row r="67" ht="18.0" customHeight="1">
      <c r="A67" s="5"/>
      <c r="B67" s="42">
        <v>3.0</v>
      </c>
      <c r="C67" s="42" t="s">
        <v>57</v>
      </c>
      <c r="D67" s="50">
        <v>46553.0</v>
      </c>
      <c r="E67" s="49">
        <f t="shared" si="6"/>
        <v>290</v>
      </c>
      <c r="F67" s="43" t="s">
        <v>58</v>
      </c>
      <c r="G67" s="44">
        <v>46553.0</v>
      </c>
      <c r="H67" s="49">
        <f t="shared" si="7"/>
        <v>290</v>
      </c>
      <c r="I67" s="62" t="str">
        <f t="shared" si="8"/>
        <v>Còn xa</v>
      </c>
      <c r="J67" s="67"/>
      <c r="K67" s="5"/>
      <c r="L67" s="5"/>
      <c r="M67" s="5"/>
      <c r="N67" s="5"/>
      <c r="O67" s="5"/>
      <c r="P67" s="5"/>
      <c r="Q67" s="5"/>
      <c r="R67" s="5"/>
      <c r="S67" s="5"/>
      <c r="T67" s="5"/>
      <c r="U67" s="5"/>
      <c r="V67" s="5"/>
      <c r="W67" s="5"/>
      <c r="X67" s="5"/>
      <c r="Y67" s="5"/>
      <c r="Z67" s="5"/>
    </row>
    <row r="68" ht="18.0" customHeight="1">
      <c r="A68" s="5"/>
      <c r="B68" s="42">
        <v>4.0</v>
      </c>
      <c r="C68" s="42" t="s">
        <v>60</v>
      </c>
      <c r="D68" s="50">
        <v>46590.0</v>
      </c>
      <c r="E68" s="49">
        <f t="shared" si="6"/>
        <v>327</v>
      </c>
      <c r="F68" s="43" t="s">
        <v>61</v>
      </c>
      <c r="G68" s="44">
        <v>46590.0</v>
      </c>
      <c r="H68" s="49">
        <f t="shared" si="7"/>
        <v>327</v>
      </c>
      <c r="I68" s="62" t="str">
        <f t="shared" si="8"/>
        <v>Còn xa</v>
      </c>
      <c r="J68" s="67"/>
      <c r="K68" s="5"/>
      <c r="L68" s="5"/>
      <c r="M68" s="5"/>
      <c r="N68" s="5"/>
      <c r="O68" s="5"/>
      <c r="P68" s="5"/>
      <c r="Q68" s="5"/>
      <c r="R68" s="5"/>
      <c r="S68" s="5"/>
      <c r="T68" s="5"/>
      <c r="U68" s="5"/>
      <c r="V68" s="5"/>
      <c r="W68" s="5"/>
      <c r="X68" s="5"/>
      <c r="Y68" s="5"/>
      <c r="Z68" s="5"/>
    </row>
    <row r="69" ht="18.0" customHeight="1">
      <c r="A69" s="5"/>
      <c r="B69" s="42">
        <v>5.0</v>
      </c>
      <c r="C69" s="42" t="s">
        <v>63</v>
      </c>
      <c r="D69" s="50">
        <v>46624.0</v>
      </c>
      <c r="E69" s="49">
        <f t="shared" si="6"/>
        <v>361</v>
      </c>
      <c r="F69" s="43" t="s">
        <v>142</v>
      </c>
      <c r="G69" s="44">
        <v>46457.0</v>
      </c>
      <c r="H69" s="49">
        <f t="shared" si="7"/>
        <v>194</v>
      </c>
      <c r="I69" s="62" t="str">
        <f t="shared" si="8"/>
        <v>Còn xa</v>
      </c>
      <c r="J69" s="67"/>
      <c r="K69" s="5"/>
      <c r="L69" s="5"/>
      <c r="M69" s="5"/>
      <c r="N69" s="5"/>
      <c r="O69" s="5"/>
      <c r="P69" s="5"/>
      <c r="Q69" s="5"/>
      <c r="R69" s="5"/>
      <c r="S69" s="5"/>
      <c r="T69" s="5"/>
      <c r="U69" s="5"/>
      <c r="V69" s="5"/>
      <c r="W69" s="5"/>
      <c r="X69" s="5"/>
      <c r="Y69" s="5"/>
      <c r="Z69" s="5"/>
    </row>
    <row r="70" ht="18.0" customHeight="1">
      <c r="A70" s="5"/>
      <c r="B70" s="42">
        <v>6.0</v>
      </c>
      <c r="C70" s="42" t="s">
        <v>66</v>
      </c>
      <c r="D70" s="50">
        <v>46308.0</v>
      </c>
      <c r="E70" s="49">
        <f t="shared" si="6"/>
        <v>45</v>
      </c>
      <c r="F70" s="43" t="s">
        <v>67</v>
      </c>
      <c r="G70" s="44">
        <v>46308.0</v>
      </c>
      <c r="H70" s="49">
        <f t="shared" si="7"/>
        <v>45</v>
      </c>
      <c r="I70" s="62" t="str">
        <f t="shared" si="8"/>
        <v>Còn xa</v>
      </c>
      <c r="J70" s="67"/>
      <c r="K70" s="5"/>
      <c r="L70" s="5"/>
      <c r="M70" s="5"/>
      <c r="N70" s="5"/>
      <c r="O70" s="5"/>
      <c r="P70" s="5"/>
      <c r="Q70" s="5"/>
      <c r="R70" s="5"/>
      <c r="S70" s="5"/>
      <c r="T70" s="5"/>
      <c r="U70" s="5"/>
      <c r="V70" s="5"/>
      <c r="W70" s="5"/>
      <c r="X70" s="5"/>
      <c r="Y70" s="5"/>
      <c r="Z70" s="5"/>
    </row>
    <row r="71" ht="18.0" customHeight="1">
      <c r="A71" s="5"/>
      <c r="B71" s="42">
        <v>7.0</v>
      </c>
      <c r="C71" s="42" t="s">
        <v>68</v>
      </c>
      <c r="D71" s="50">
        <v>46335.0</v>
      </c>
      <c r="E71" s="49">
        <f t="shared" si="6"/>
        <v>72</v>
      </c>
      <c r="F71" s="43" t="s">
        <v>69</v>
      </c>
      <c r="G71" s="44">
        <v>46345.0</v>
      </c>
      <c r="H71" s="49">
        <f t="shared" si="7"/>
        <v>82</v>
      </c>
      <c r="I71" s="62" t="str">
        <f t="shared" si="8"/>
        <v>Còn xa</v>
      </c>
      <c r="J71" s="67"/>
      <c r="K71" s="5"/>
      <c r="L71" s="5"/>
      <c r="M71" s="5"/>
      <c r="N71" s="5"/>
      <c r="O71" s="5"/>
      <c r="P71" s="5"/>
      <c r="Q71" s="5"/>
      <c r="R71" s="5"/>
      <c r="S71" s="5"/>
      <c r="T71" s="5"/>
      <c r="U71" s="5"/>
      <c r="V71" s="5"/>
      <c r="W71" s="5"/>
      <c r="X71" s="5"/>
      <c r="Y71" s="5"/>
      <c r="Z71" s="5"/>
    </row>
    <row r="72" ht="18.0" customHeight="1">
      <c r="A72" s="5"/>
      <c r="B72" s="42">
        <v>8.0</v>
      </c>
      <c r="C72" s="42" t="s">
        <v>70</v>
      </c>
      <c r="D72" s="50">
        <v>46400.0</v>
      </c>
      <c r="E72" s="49">
        <f t="shared" si="6"/>
        <v>137</v>
      </c>
      <c r="F72" s="43" t="s">
        <v>71</v>
      </c>
      <c r="G72" s="44">
        <v>46400.0</v>
      </c>
      <c r="H72" s="49">
        <f t="shared" si="7"/>
        <v>137</v>
      </c>
      <c r="I72" s="62" t="str">
        <f t="shared" si="8"/>
        <v>Còn xa</v>
      </c>
      <c r="J72" s="67"/>
      <c r="K72" s="5"/>
      <c r="L72" s="5"/>
      <c r="M72" s="5"/>
      <c r="N72" s="5"/>
      <c r="O72" s="5"/>
      <c r="P72" s="5"/>
      <c r="Q72" s="5"/>
      <c r="R72" s="5"/>
      <c r="S72" s="5"/>
      <c r="T72" s="5"/>
      <c r="U72" s="5"/>
      <c r="V72" s="5"/>
      <c r="W72" s="5"/>
      <c r="X72" s="5"/>
      <c r="Y72" s="5"/>
      <c r="Z72" s="5"/>
    </row>
    <row r="73" ht="18.0" customHeight="1">
      <c r="A73" s="5"/>
      <c r="B73" s="42">
        <v>9.0</v>
      </c>
      <c r="C73" s="42" t="s">
        <v>72</v>
      </c>
      <c r="D73" s="50">
        <v>46444.0</v>
      </c>
      <c r="E73" s="49">
        <f t="shared" si="6"/>
        <v>181</v>
      </c>
      <c r="F73" s="43" t="s">
        <v>73</v>
      </c>
      <c r="G73" s="44">
        <v>46444.0</v>
      </c>
      <c r="H73" s="49">
        <f t="shared" si="7"/>
        <v>181</v>
      </c>
      <c r="I73" s="62" t="str">
        <f t="shared" si="8"/>
        <v>Còn xa</v>
      </c>
      <c r="J73" s="67"/>
      <c r="K73" s="5"/>
      <c r="L73" s="5"/>
      <c r="M73" s="5"/>
      <c r="N73" s="5"/>
      <c r="O73" s="5"/>
      <c r="P73" s="5"/>
      <c r="Q73" s="5"/>
      <c r="R73" s="5"/>
      <c r="S73" s="5"/>
      <c r="T73" s="5"/>
      <c r="U73" s="5"/>
      <c r="V73" s="5"/>
      <c r="W73" s="5"/>
      <c r="X73" s="5"/>
      <c r="Y73" s="5"/>
      <c r="Z73" s="5"/>
    </row>
    <row r="74" ht="18.0" customHeight="1">
      <c r="A74" s="5"/>
      <c r="B74" s="42">
        <v>10.0</v>
      </c>
      <c r="C74" s="42" t="s">
        <v>75</v>
      </c>
      <c r="D74" s="50">
        <v>46444.0</v>
      </c>
      <c r="E74" s="49">
        <f t="shared" si="6"/>
        <v>181</v>
      </c>
      <c r="F74" s="43" t="s">
        <v>76</v>
      </c>
      <c r="G74" s="44">
        <v>46444.0</v>
      </c>
      <c r="H74" s="49">
        <f t="shared" si="7"/>
        <v>181</v>
      </c>
      <c r="I74" s="62" t="str">
        <f t="shared" si="8"/>
        <v>Còn xa</v>
      </c>
      <c r="J74" s="67"/>
      <c r="K74" s="5"/>
      <c r="L74" s="5"/>
      <c r="M74" s="5"/>
      <c r="N74" s="5"/>
      <c r="O74" s="5"/>
      <c r="P74" s="5"/>
      <c r="Q74" s="5"/>
      <c r="R74" s="5"/>
      <c r="S74" s="5"/>
      <c r="T74" s="5"/>
      <c r="U74" s="5"/>
      <c r="V74" s="5"/>
      <c r="W74" s="5"/>
      <c r="X74" s="5"/>
      <c r="Y74" s="5"/>
      <c r="Z74" s="5"/>
    </row>
    <row r="75" ht="18.0" customHeight="1">
      <c r="A75" s="5"/>
      <c r="B75" s="42">
        <v>11.0</v>
      </c>
      <c r="C75" s="42" t="s">
        <v>77</v>
      </c>
      <c r="D75" s="50">
        <v>46548.0</v>
      </c>
      <c r="E75" s="49">
        <f t="shared" si="6"/>
        <v>285</v>
      </c>
      <c r="F75" s="43" t="s">
        <v>78</v>
      </c>
      <c r="G75" s="44">
        <v>46548.0</v>
      </c>
      <c r="H75" s="49">
        <f t="shared" si="7"/>
        <v>285</v>
      </c>
      <c r="I75" s="62" t="str">
        <f t="shared" si="8"/>
        <v>Còn xa</v>
      </c>
      <c r="J75" s="67"/>
      <c r="K75" s="5"/>
      <c r="L75" s="5"/>
      <c r="M75" s="5"/>
      <c r="N75" s="5"/>
      <c r="O75" s="5"/>
      <c r="P75" s="5"/>
      <c r="Q75" s="5"/>
      <c r="R75" s="5"/>
      <c r="S75" s="5"/>
      <c r="T75" s="5"/>
      <c r="U75" s="5"/>
      <c r="V75" s="5"/>
      <c r="W75" s="5"/>
      <c r="X75" s="5"/>
      <c r="Y75" s="5"/>
      <c r="Z75" s="5"/>
    </row>
    <row r="76" ht="18.0" customHeight="1">
      <c r="A76" s="5"/>
      <c r="B76" s="42">
        <v>12.0</v>
      </c>
      <c r="C76" s="42" t="s">
        <v>80</v>
      </c>
      <c r="D76" s="50">
        <v>46548.0</v>
      </c>
      <c r="E76" s="49">
        <f t="shared" si="6"/>
        <v>285</v>
      </c>
      <c r="F76" s="43" t="s">
        <v>81</v>
      </c>
      <c r="G76" s="44">
        <v>46548.0</v>
      </c>
      <c r="H76" s="49">
        <f t="shared" si="7"/>
        <v>285</v>
      </c>
      <c r="I76" s="62" t="str">
        <f t="shared" si="8"/>
        <v>Còn xa</v>
      </c>
      <c r="J76" s="67"/>
      <c r="K76" s="5"/>
      <c r="L76" s="5"/>
      <c r="M76" s="5"/>
      <c r="N76" s="5"/>
      <c r="O76" s="5"/>
      <c r="P76" s="5"/>
      <c r="Q76" s="5"/>
      <c r="R76" s="5"/>
      <c r="S76" s="5"/>
      <c r="T76" s="5"/>
      <c r="U76" s="5"/>
      <c r="V76" s="5"/>
      <c r="W76" s="5"/>
      <c r="X76" s="5"/>
      <c r="Y76" s="5"/>
      <c r="Z76" s="5"/>
    </row>
    <row r="77" ht="18.0" customHeight="1">
      <c r="A77" s="5"/>
      <c r="B77" s="42">
        <v>13.0</v>
      </c>
      <c r="C77" s="42" t="s">
        <v>83</v>
      </c>
      <c r="D77" s="50">
        <v>46647.0</v>
      </c>
      <c r="E77" s="49">
        <f t="shared" si="6"/>
        <v>384</v>
      </c>
      <c r="F77" s="43" t="s">
        <v>84</v>
      </c>
      <c r="G77" s="44">
        <v>46647.0</v>
      </c>
      <c r="H77" s="49">
        <f t="shared" si="7"/>
        <v>384</v>
      </c>
      <c r="I77" s="62" t="str">
        <f t="shared" si="8"/>
        <v>Còn xa</v>
      </c>
      <c r="J77" s="67"/>
      <c r="K77" s="5"/>
      <c r="L77" s="5"/>
      <c r="M77" s="5"/>
      <c r="N77" s="5"/>
      <c r="O77" s="5"/>
      <c r="P77" s="5"/>
      <c r="Q77" s="5"/>
      <c r="R77" s="5"/>
      <c r="S77" s="5"/>
      <c r="T77" s="5"/>
      <c r="U77" s="5"/>
      <c r="V77" s="5"/>
      <c r="W77" s="5"/>
      <c r="X77" s="5"/>
      <c r="Y77" s="5"/>
      <c r="Z77" s="5"/>
    </row>
    <row r="78" ht="18.0" customHeight="1">
      <c r="A78" s="5"/>
      <c r="B78" s="42">
        <v>14.0</v>
      </c>
      <c r="C78" s="42" t="s">
        <v>85</v>
      </c>
      <c r="D78" s="50">
        <v>46647.0</v>
      </c>
      <c r="E78" s="49">
        <f t="shared" si="6"/>
        <v>384</v>
      </c>
      <c r="F78" s="43" t="s">
        <v>86</v>
      </c>
      <c r="G78" s="44">
        <v>46647.0</v>
      </c>
      <c r="H78" s="49">
        <f t="shared" si="7"/>
        <v>384</v>
      </c>
      <c r="I78" s="62" t="str">
        <f t="shared" si="8"/>
        <v>Còn xa</v>
      </c>
      <c r="J78" s="67"/>
      <c r="K78" s="5"/>
      <c r="L78" s="5"/>
      <c r="M78" s="5"/>
      <c r="N78" s="5"/>
      <c r="O78" s="5"/>
      <c r="P78" s="5"/>
      <c r="Q78" s="5"/>
      <c r="R78" s="5"/>
      <c r="S78" s="5"/>
      <c r="T78" s="5"/>
      <c r="U78" s="5"/>
      <c r="V78" s="5"/>
      <c r="W78" s="5"/>
      <c r="X78" s="5"/>
      <c r="Y78" s="5"/>
      <c r="Z78" s="5"/>
    </row>
    <row r="79" ht="18.0" customHeight="1">
      <c r="A79" s="5"/>
      <c r="B79" s="42">
        <v>15.0</v>
      </c>
      <c r="C79" s="42" t="s">
        <v>87</v>
      </c>
      <c r="D79" s="50">
        <v>46704.0</v>
      </c>
      <c r="E79" s="49">
        <f t="shared" si="6"/>
        <v>441</v>
      </c>
      <c r="F79" s="43" t="s">
        <v>88</v>
      </c>
      <c r="G79" s="44">
        <v>46683.0</v>
      </c>
      <c r="H79" s="49">
        <f t="shared" si="7"/>
        <v>420</v>
      </c>
      <c r="I79" s="62" t="str">
        <f t="shared" si="8"/>
        <v>Còn xa</v>
      </c>
      <c r="J79" s="67"/>
      <c r="K79" s="5"/>
      <c r="L79" s="5"/>
      <c r="M79" s="5"/>
      <c r="N79" s="5"/>
      <c r="O79" s="5"/>
      <c r="P79" s="5"/>
      <c r="Q79" s="5"/>
      <c r="R79" s="5"/>
      <c r="S79" s="5"/>
      <c r="T79" s="5"/>
      <c r="U79" s="5"/>
      <c r="V79" s="5"/>
      <c r="W79" s="5"/>
      <c r="X79" s="5"/>
      <c r="Y79" s="5"/>
      <c r="Z79" s="5"/>
    </row>
    <row r="80" ht="18.0" customHeight="1">
      <c r="A80" s="5"/>
      <c r="B80" s="42">
        <v>16.0</v>
      </c>
      <c r="C80" s="42" t="s">
        <v>91</v>
      </c>
      <c r="D80" s="50">
        <v>46683.0</v>
      </c>
      <c r="E80" s="49">
        <f t="shared" si="6"/>
        <v>420</v>
      </c>
      <c r="F80" s="43" t="s">
        <v>92</v>
      </c>
      <c r="G80" s="44">
        <v>46683.0</v>
      </c>
      <c r="H80" s="49">
        <f t="shared" si="7"/>
        <v>420</v>
      </c>
      <c r="I80" s="62" t="str">
        <f t="shared" si="8"/>
        <v>Còn xa</v>
      </c>
      <c r="J80" s="67"/>
      <c r="K80" s="5"/>
      <c r="L80" s="5"/>
      <c r="M80" s="5"/>
      <c r="N80" s="5"/>
      <c r="O80" s="5"/>
      <c r="P80" s="5"/>
      <c r="Q80" s="5"/>
      <c r="R80" s="5"/>
      <c r="S80" s="5"/>
      <c r="T80" s="5"/>
      <c r="U80" s="5"/>
      <c r="V80" s="5"/>
      <c r="W80" s="5"/>
      <c r="X80" s="5"/>
      <c r="Y80" s="5"/>
      <c r="Z80" s="5"/>
    </row>
    <row r="81" ht="18.0" customHeight="1">
      <c r="A81" s="5"/>
      <c r="B81" s="42">
        <v>17.0</v>
      </c>
      <c r="C81" s="42" t="s">
        <v>94</v>
      </c>
      <c r="D81" s="50">
        <v>46808.0</v>
      </c>
      <c r="E81" s="49">
        <f t="shared" si="6"/>
        <v>545</v>
      </c>
      <c r="F81" s="43" t="s">
        <v>95</v>
      </c>
      <c r="G81" s="44">
        <v>46808.0</v>
      </c>
      <c r="H81" s="49">
        <f t="shared" si="7"/>
        <v>545</v>
      </c>
      <c r="I81" s="62" t="str">
        <f t="shared" si="8"/>
        <v>Còn xa</v>
      </c>
      <c r="J81" s="67"/>
      <c r="K81" s="5"/>
      <c r="L81" s="5"/>
      <c r="M81" s="5"/>
      <c r="N81" s="5"/>
      <c r="O81" s="5"/>
      <c r="P81" s="5"/>
      <c r="Q81" s="5"/>
      <c r="R81" s="5"/>
      <c r="S81" s="5"/>
      <c r="T81" s="5"/>
      <c r="U81" s="5"/>
      <c r="V81" s="5"/>
      <c r="W81" s="5"/>
      <c r="X81" s="5"/>
      <c r="Y81" s="5"/>
      <c r="Z81" s="5"/>
    </row>
    <row r="82" ht="18.0" customHeight="1">
      <c r="A82" s="5"/>
      <c r="B82" s="42">
        <v>18.0</v>
      </c>
      <c r="C82" s="42" t="s">
        <v>96</v>
      </c>
      <c r="D82" s="50">
        <v>46808.0</v>
      </c>
      <c r="E82" s="49">
        <f t="shared" si="6"/>
        <v>545</v>
      </c>
      <c r="F82" s="43" t="s">
        <v>97</v>
      </c>
      <c r="G82" s="44">
        <v>46808.0</v>
      </c>
      <c r="H82" s="49">
        <f t="shared" si="7"/>
        <v>545</v>
      </c>
      <c r="I82" s="62" t="str">
        <f t="shared" si="8"/>
        <v>Còn xa</v>
      </c>
      <c r="J82" s="67"/>
      <c r="K82" s="5"/>
      <c r="L82" s="5"/>
      <c r="M82" s="5"/>
      <c r="N82" s="5"/>
      <c r="O82" s="5"/>
      <c r="P82" s="5"/>
      <c r="Q82" s="5"/>
      <c r="R82" s="5"/>
      <c r="S82" s="5"/>
      <c r="T82" s="5"/>
      <c r="U82" s="5"/>
      <c r="V82" s="5"/>
      <c r="W82" s="5"/>
      <c r="X82" s="5"/>
      <c r="Y82" s="5"/>
      <c r="Z82" s="5"/>
    </row>
    <row r="83" ht="18.0" customHeight="1">
      <c r="A83" s="5"/>
      <c r="B83" s="42">
        <v>19.0</v>
      </c>
      <c r="C83" s="42" t="s">
        <v>98</v>
      </c>
      <c r="D83" s="50">
        <v>46747.0</v>
      </c>
      <c r="E83" s="49">
        <f t="shared" si="6"/>
        <v>484</v>
      </c>
      <c r="F83" s="43" t="s">
        <v>99</v>
      </c>
      <c r="G83" s="44">
        <v>46747.0</v>
      </c>
      <c r="H83" s="49">
        <f t="shared" si="7"/>
        <v>484</v>
      </c>
      <c r="I83" s="62" t="str">
        <f t="shared" si="8"/>
        <v>Còn xa</v>
      </c>
      <c r="J83" s="67"/>
      <c r="K83" s="5"/>
      <c r="L83" s="5"/>
      <c r="M83" s="5"/>
      <c r="N83" s="5"/>
      <c r="O83" s="5"/>
      <c r="P83" s="5"/>
      <c r="Q83" s="5"/>
      <c r="R83" s="5"/>
      <c r="S83" s="5"/>
      <c r="T83" s="5"/>
      <c r="U83" s="5"/>
      <c r="V83" s="5"/>
      <c r="W83" s="5"/>
      <c r="X83" s="5"/>
      <c r="Y83" s="5"/>
      <c r="Z83" s="5"/>
    </row>
    <row r="84" ht="18.0" customHeight="1">
      <c r="A84" s="5"/>
      <c r="B84" s="42">
        <v>20.0</v>
      </c>
      <c r="C84" s="42" t="s">
        <v>101</v>
      </c>
      <c r="D84" s="50">
        <v>46775.0</v>
      </c>
      <c r="E84" s="49">
        <f t="shared" si="6"/>
        <v>512</v>
      </c>
      <c r="F84" s="43" t="s">
        <v>102</v>
      </c>
      <c r="G84" s="44">
        <v>46775.0</v>
      </c>
      <c r="H84" s="49">
        <f t="shared" si="7"/>
        <v>512</v>
      </c>
      <c r="I84" s="62" t="str">
        <f t="shared" si="8"/>
        <v>Còn xa</v>
      </c>
      <c r="J84" s="67"/>
      <c r="K84" s="5"/>
      <c r="L84" s="5"/>
      <c r="M84" s="5"/>
      <c r="N84" s="5"/>
      <c r="O84" s="5"/>
      <c r="P84" s="5"/>
      <c r="Q84" s="5"/>
      <c r="R84" s="5"/>
      <c r="S84" s="5"/>
      <c r="T84" s="5"/>
      <c r="U84" s="5"/>
      <c r="V84" s="5"/>
      <c r="W84" s="5"/>
      <c r="X84" s="5"/>
      <c r="Y84" s="5"/>
      <c r="Z84" s="5"/>
    </row>
    <row r="85" ht="18.0" customHeight="1">
      <c r="A85" s="5"/>
      <c r="B85" s="42">
        <v>21.0</v>
      </c>
      <c r="C85" s="42" t="s">
        <v>104</v>
      </c>
      <c r="D85" s="101">
        <v>46824.0</v>
      </c>
      <c r="E85" s="49">
        <f t="shared" si="6"/>
        <v>561</v>
      </c>
      <c r="F85" s="43" t="s">
        <v>106</v>
      </c>
      <c r="G85" s="98">
        <v>46824.0</v>
      </c>
      <c r="H85" s="49">
        <f t="shared" si="7"/>
        <v>561</v>
      </c>
      <c r="I85" s="62" t="str">
        <f t="shared" si="8"/>
        <v>Còn xa</v>
      </c>
      <c r="J85" s="67"/>
      <c r="K85" s="5"/>
      <c r="L85" s="5"/>
      <c r="M85" s="5"/>
      <c r="N85" s="5"/>
      <c r="O85" s="5"/>
      <c r="P85" s="5"/>
      <c r="Q85" s="5"/>
      <c r="R85" s="5"/>
      <c r="S85" s="5"/>
      <c r="T85" s="5"/>
      <c r="U85" s="5"/>
      <c r="V85" s="5"/>
      <c r="W85" s="5"/>
      <c r="X85" s="5"/>
      <c r="Y85" s="5"/>
      <c r="Z85" s="5"/>
    </row>
    <row r="86" ht="18.0" customHeight="1">
      <c r="A86" s="5"/>
      <c r="B86" s="42">
        <v>22.0</v>
      </c>
      <c r="C86" s="42" t="s">
        <v>108</v>
      </c>
      <c r="D86" s="50">
        <v>46863.0</v>
      </c>
      <c r="E86" s="49">
        <f t="shared" si="6"/>
        <v>600</v>
      </c>
      <c r="F86" s="43" t="s">
        <v>109</v>
      </c>
      <c r="G86" s="44">
        <v>46863.0</v>
      </c>
      <c r="H86" s="49">
        <f t="shared" si="7"/>
        <v>600</v>
      </c>
      <c r="I86" s="62" t="str">
        <f t="shared" si="8"/>
        <v>Còn xa</v>
      </c>
      <c r="J86" s="67"/>
      <c r="K86" s="5"/>
      <c r="L86" s="5"/>
      <c r="M86" s="5"/>
      <c r="N86" s="5"/>
      <c r="O86" s="5"/>
      <c r="P86" s="5"/>
      <c r="Q86" s="5"/>
      <c r="R86" s="5"/>
      <c r="S86" s="5"/>
      <c r="T86" s="5"/>
      <c r="U86" s="5"/>
      <c r="V86" s="5"/>
      <c r="W86" s="5"/>
      <c r="X86" s="5"/>
      <c r="Y86" s="5"/>
      <c r="Z86" s="5"/>
    </row>
    <row r="87" ht="18.0" customHeight="1">
      <c r="A87" s="5"/>
      <c r="B87" s="42">
        <v>23.0</v>
      </c>
      <c r="C87" s="42" t="s">
        <v>111</v>
      </c>
      <c r="D87" s="85">
        <v>46899.0</v>
      </c>
      <c r="E87" s="49">
        <f t="shared" si="6"/>
        <v>636</v>
      </c>
      <c r="F87" s="43" t="s">
        <v>112</v>
      </c>
      <c r="G87" s="44">
        <v>46876.0</v>
      </c>
      <c r="H87" s="49">
        <f t="shared" si="7"/>
        <v>613</v>
      </c>
      <c r="I87" s="62" t="str">
        <f t="shared" si="8"/>
        <v>Còn xa</v>
      </c>
      <c r="J87" s="67"/>
      <c r="K87" s="5"/>
      <c r="L87" s="5"/>
      <c r="M87" s="5"/>
      <c r="N87" s="5"/>
      <c r="O87" s="5"/>
      <c r="P87" s="5"/>
      <c r="Q87" s="5"/>
      <c r="R87" s="5"/>
      <c r="S87" s="5"/>
      <c r="T87" s="5"/>
      <c r="U87" s="5"/>
      <c r="V87" s="5"/>
      <c r="W87" s="5"/>
      <c r="X87" s="5"/>
      <c r="Y87" s="5"/>
      <c r="Z87" s="5"/>
    </row>
    <row r="88" ht="18.0" customHeight="1">
      <c r="A88" s="5"/>
      <c r="B88" s="42">
        <v>24.0</v>
      </c>
      <c r="C88" s="42" t="s">
        <v>114</v>
      </c>
      <c r="D88" s="85">
        <v>46899.0</v>
      </c>
      <c r="E88" s="49">
        <f t="shared" si="6"/>
        <v>636</v>
      </c>
      <c r="F88" s="43" t="s">
        <v>115</v>
      </c>
      <c r="G88" s="98">
        <v>46902.0</v>
      </c>
      <c r="H88" s="49">
        <f t="shared" si="7"/>
        <v>639</v>
      </c>
      <c r="I88" s="62" t="str">
        <f t="shared" si="8"/>
        <v>Còn xa</v>
      </c>
      <c r="J88" s="67"/>
      <c r="K88" s="5"/>
      <c r="L88" s="5"/>
      <c r="M88" s="5"/>
      <c r="N88" s="5"/>
      <c r="O88" s="5"/>
      <c r="P88" s="5"/>
      <c r="Q88" s="5"/>
      <c r="R88" s="5"/>
      <c r="S88" s="5"/>
      <c r="T88" s="5"/>
      <c r="U88" s="5"/>
      <c r="V88" s="5"/>
      <c r="W88" s="5"/>
      <c r="X88" s="5"/>
      <c r="Y88" s="5"/>
      <c r="Z88" s="5"/>
    </row>
    <row r="89" ht="18.0" customHeight="1">
      <c r="A89" s="5"/>
      <c r="B89" s="141">
        <v>25.0</v>
      </c>
      <c r="C89" s="141" t="s">
        <v>117</v>
      </c>
      <c r="D89" s="142">
        <v>46961.0</v>
      </c>
      <c r="E89" s="49">
        <f t="shared" si="6"/>
        <v>698</v>
      </c>
      <c r="F89" s="143" t="s">
        <v>118</v>
      </c>
      <c r="G89" s="144">
        <v>46933.0</v>
      </c>
      <c r="H89" s="49">
        <f t="shared" si="7"/>
        <v>670</v>
      </c>
      <c r="I89" s="145" t="str">
        <f t="shared" si="8"/>
        <v>Còn xa</v>
      </c>
      <c r="J89" s="146"/>
      <c r="K89" s="5"/>
      <c r="L89" s="5"/>
      <c r="M89" s="5"/>
      <c r="N89" s="5"/>
      <c r="O89" s="5"/>
      <c r="P89" s="5"/>
      <c r="Q89" s="5"/>
      <c r="R89" s="5"/>
      <c r="S89" s="5"/>
      <c r="T89" s="5"/>
      <c r="U89" s="5"/>
      <c r="V89" s="5"/>
      <c r="W89" s="5"/>
      <c r="X89" s="5"/>
      <c r="Y89" s="5"/>
      <c r="Z89" s="5"/>
    </row>
    <row r="90" ht="21.75" customHeight="1">
      <c r="A90" s="5"/>
      <c r="B90" s="147" t="s">
        <v>158</v>
      </c>
      <c r="C90" s="111"/>
      <c r="D90" s="111"/>
      <c r="E90" s="111"/>
      <c r="F90" s="112"/>
      <c r="G90" s="5"/>
      <c r="H90" s="5"/>
      <c r="I90" s="5"/>
      <c r="J90" s="5"/>
      <c r="K90" s="5"/>
      <c r="L90" s="5"/>
      <c r="M90" s="5"/>
      <c r="N90" s="5"/>
      <c r="O90" s="5"/>
      <c r="P90" s="5"/>
      <c r="Q90" s="5"/>
      <c r="R90" s="5"/>
      <c r="S90" s="5"/>
      <c r="T90" s="5"/>
      <c r="U90" s="5"/>
      <c r="V90" s="5"/>
      <c r="W90" s="5"/>
      <c r="X90" s="5"/>
      <c r="Y90" s="5"/>
      <c r="Z90" s="5"/>
    </row>
    <row r="91" ht="23.25" customHeight="1">
      <c r="A91" s="5"/>
      <c r="B91" s="148" t="s">
        <v>9</v>
      </c>
      <c r="C91" s="149"/>
      <c r="D91" s="150" t="s">
        <v>160</v>
      </c>
      <c r="E91" s="5"/>
      <c r="F91" s="5"/>
      <c r="G91" s="5"/>
      <c r="H91" s="5"/>
      <c r="I91" s="5"/>
      <c r="J91" s="5"/>
      <c r="K91" s="5"/>
      <c r="L91" s="5"/>
      <c r="M91" s="5"/>
      <c r="N91" s="5"/>
      <c r="O91" s="5"/>
      <c r="P91" s="5"/>
      <c r="Q91" s="5"/>
      <c r="R91" s="5"/>
      <c r="S91" s="5"/>
      <c r="T91" s="5"/>
      <c r="U91" s="5"/>
      <c r="V91" s="5"/>
      <c r="W91" s="5"/>
      <c r="X91" s="5"/>
      <c r="Y91" s="5"/>
      <c r="Z91" s="5"/>
    </row>
    <row r="92" ht="13.5" customHeight="1">
      <c r="A92" s="5"/>
      <c r="B92" s="151" t="s">
        <v>21</v>
      </c>
      <c r="C92" s="152"/>
      <c r="D92" s="153">
        <v>2.0</v>
      </c>
      <c r="E92" s="5"/>
      <c r="F92" s="5"/>
      <c r="G92" s="5"/>
      <c r="H92" s="5"/>
      <c r="I92" s="5"/>
      <c r="J92" s="5"/>
      <c r="K92" s="5"/>
      <c r="L92" s="5"/>
      <c r="M92" s="5"/>
      <c r="N92" s="5"/>
      <c r="O92" s="5"/>
      <c r="P92" s="5"/>
      <c r="Q92" s="5"/>
      <c r="R92" s="5"/>
      <c r="S92" s="5"/>
      <c r="T92" s="5"/>
      <c r="U92" s="5"/>
      <c r="V92" s="5"/>
      <c r="W92" s="5"/>
      <c r="X92" s="5"/>
      <c r="Y92" s="5"/>
      <c r="Z92" s="5"/>
    </row>
    <row r="93" ht="13.5" customHeight="1">
      <c r="A93" s="5"/>
      <c r="B93" s="151" t="s">
        <v>55</v>
      </c>
      <c r="C93" s="152"/>
      <c r="D93" s="153">
        <v>2.0</v>
      </c>
      <c r="E93" s="5"/>
      <c r="F93" s="5"/>
      <c r="G93" s="5"/>
      <c r="H93" s="5"/>
      <c r="I93" s="5"/>
      <c r="J93" s="5"/>
      <c r="K93" s="5"/>
      <c r="L93" s="5"/>
      <c r="M93" s="5"/>
      <c r="N93" s="5"/>
      <c r="O93" s="5"/>
      <c r="P93" s="5"/>
      <c r="Q93" s="5"/>
      <c r="R93" s="5"/>
      <c r="S93" s="5"/>
      <c r="T93" s="5"/>
      <c r="U93" s="5"/>
      <c r="V93" s="5"/>
      <c r="W93" s="5"/>
      <c r="X93" s="5"/>
      <c r="Y93" s="5"/>
      <c r="Z93" s="5"/>
    </row>
    <row r="94" ht="13.5" customHeight="1">
      <c r="A94" s="5"/>
      <c r="B94" s="151" t="s">
        <v>57</v>
      </c>
      <c r="C94" s="152"/>
      <c r="D94" s="153">
        <v>2.0</v>
      </c>
      <c r="E94" s="5"/>
      <c r="F94" s="5"/>
      <c r="G94" s="5"/>
      <c r="H94" s="5"/>
      <c r="I94" s="5"/>
      <c r="J94" s="5"/>
      <c r="K94" s="5"/>
      <c r="L94" s="5"/>
      <c r="M94" s="5"/>
      <c r="N94" s="5"/>
      <c r="O94" s="5"/>
      <c r="P94" s="5"/>
      <c r="Q94" s="5"/>
      <c r="R94" s="5"/>
      <c r="S94" s="5"/>
      <c r="T94" s="5"/>
      <c r="U94" s="5"/>
      <c r="V94" s="5"/>
      <c r="W94" s="5"/>
      <c r="X94" s="5"/>
      <c r="Y94" s="5"/>
      <c r="Z94" s="5"/>
    </row>
    <row r="95" ht="13.5" customHeight="1">
      <c r="A95" s="5"/>
      <c r="B95" s="151" t="s">
        <v>60</v>
      </c>
      <c r="C95" s="152"/>
      <c r="D95" s="153">
        <v>2.0</v>
      </c>
      <c r="E95" s="5"/>
      <c r="F95" s="5"/>
      <c r="G95" s="5"/>
      <c r="H95" s="5"/>
      <c r="I95" s="5"/>
      <c r="J95" s="5"/>
      <c r="K95" s="5"/>
      <c r="L95" s="5"/>
      <c r="M95" s="5"/>
      <c r="N95" s="5"/>
      <c r="O95" s="5"/>
      <c r="P95" s="5"/>
      <c r="Q95" s="5"/>
      <c r="R95" s="5"/>
      <c r="S95" s="5"/>
      <c r="T95" s="5"/>
      <c r="U95" s="5"/>
      <c r="V95" s="5"/>
      <c r="W95" s="5"/>
      <c r="X95" s="5"/>
      <c r="Y95" s="5"/>
      <c r="Z95" s="5"/>
    </row>
    <row r="96" ht="13.5" customHeight="1">
      <c r="A96" s="5"/>
      <c r="B96" s="151" t="s">
        <v>63</v>
      </c>
      <c r="C96" s="152"/>
      <c r="D96" s="153">
        <v>2.0</v>
      </c>
      <c r="E96" s="5"/>
      <c r="F96" s="5"/>
      <c r="G96" s="5"/>
      <c r="H96" s="5"/>
      <c r="I96" s="5"/>
      <c r="J96" s="5"/>
      <c r="K96" s="5"/>
      <c r="L96" s="5"/>
      <c r="M96" s="5"/>
      <c r="N96" s="5"/>
      <c r="O96" s="5"/>
      <c r="P96" s="5"/>
      <c r="Q96" s="5"/>
      <c r="R96" s="5"/>
      <c r="S96" s="5"/>
      <c r="T96" s="5"/>
      <c r="U96" s="5"/>
      <c r="V96" s="5"/>
      <c r="W96" s="5"/>
      <c r="X96" s="5"/>
      <c r="Y96" s="5"/>
      <c r="Z96" s="5"/>
    </row>
    <row r="97" ht="13.5" customHeight="1">
      <c r="A97" s="5"/>
      <c r="B97" s="151" t="s">
        <v>66</v>
      </c>
      <c r="C97" s="152"/>
      <c r="D97" s="153">
        <v>2.0</v>
      </c>
      <c r="E97" s="5"/>
      <c r="F97" s="5"/>
      <c r="G97" s="5"/>
      <c r="H97" s="5"/>
      <c r="I97" s="5"/>
      <c r="J97" s="5"/>
      <c r="K97" s="5"/>
      <c r="L97" s="5"/>
      <c r="M97" s="5"/>
      <c r="N97" s="5"/>
      <c r="O97" s="5"/>
      <c r="P97" s="5"/>
      <c r="Q97" s="5"/>
      <c r="R97" s="5"/>
      <c r="S97" s="5"/>
      <c r="T97" s="5"/>
      <c r="U97" s="5"/>
      <c r="V97" s="5"/>
      <c r="W97" s="5"/>
      <c r="X97" s="5"/>
      <c r="Y97" s="5"/>
      <c r="Z97" s="5"/>
    </row>
    <row r="98" ht="13.5" customHeight="1">
      <c r="A98" s="5"/>
      <c r="B98" s="151" t="s">
        <v>68</v>
      </c>
      <c r="C98" s="152"/>
      <c r="D98" s="153">
        <v>2.0</v>
      </c>
      <c r="E98" s="5"/>
      <c r="F98" s="5"/>
      <c r="G98" s="5"/>
      <c r="H98" s="5"/>
      <c r="I98" s="5"/>
      <c r="J98" s="5"/>
      <c r="K98" s="5"/>
      <c r="L98" s="5"/>
      <c r="M98" s="5"/>
      <c r="N98" s="5"/>
      <c r="O98" s="5"/>
      <c r="P98" s="5"/>
      <c r="Q98" s="5"/>
      <c r="R98" s="5"/>
      <c r="S98" s="5"/>
      <c r="T98" s="5"/>
      <c r="U98" s="5"/>
      <c r="V98" s="5"/>
      <c r="W98" s="5"/>
      <c r="X98" s="5"/>
      <c r="Y98" s="5"/>
      <c r="Z98" s="5"/>
    </row>
    <row r="99" ht="13.5" customHeight="1">
      <c r="A99" s="5"/>
      <c r="B99" s="151" t="s">
        <v>70</v>
      </c>
      <c r="C99" s="152"/>
      <c r="D99" s="153">
        <v>2.0</v>
      </c>
      <c r="E99" s="5"/>
      <c r="F99" s="5"/>
      <c r="G99" s="5"/>
      <c r="H99" s="5"/>
      <c r="I99" s="5"/>
      <c r="J99" s="5"/>
      <c r="K99" s="5"/>
      <c r="L99" s="5"/>
      <c r="M99" s="5"/>
      <c r="N99" s="5"/>
      <c r="O99" s="5"/>
      <c r="P99" s="5"/>
      <c r="Q99" s="5"/>
      <c r="R99" s="5"/>
      <c r="S99" s="5"/>
      <c r="T99" s="5"/>
      <c r="U99" s="5"/>
      <c r="V99" s="5"/>
      <c r="W99" s="5"/>
      <c r="X99" s="5"/>
      <c r="Y99" s="5"/>
      <c r="Z99" s="5"/>
    </row>
    <row r="100" ht="13.5" customHeight="1">
      <c r="A100" s="5"/>
      <c r="B100" s="151" t="s">
        <v>72</v>
      </c>
      <c r="C100" s="152"/>
      <c r="D100" s="153">
        <v>1.0</v>
      </c>
      <c r="E100" s="5"/>
      <c r="F100" s="5"/>
      <c r="G100" s="5"/>
      <c r="H100" s="5"/>
      <c r="I100" s="5"/>
      <c r="J100" s="5"/>
      <c r="K100" s="5"/>
      <c r="L100" s="5"/>
      <c r="M100" s="5"/>
      <c r="N100" s="5"/>
      <c r="O100" s="5"/>
      <c r="P100" s="5"/>
      <c r="Q100" s="5"/>
      <c r="R100" s="5"/>
      <c r="S100" s="5"/>
      <c r="T100" s="5"/>
      <c r="U100" s="5"/>
      <c r="V100" s="5"/>
      <c r="W100" s="5"/>
      <c r="X100" s="5"/>
      <c r="Y100" s="5"/>
      <c r="Z100" s="5"/>
    </row>
    <row r="101" ht="13.5" customHeight="1">
      <c r="A101" s="5"/>
      <c r="B101" s="151" t="s">
        <v>75</v>
      </c>
      <c r="C101" s="152"/>
      <c r="D101" s="153">
        <v>1.0</v>
      </c>
      <c r="E101" s="5"/>
      <c r="F101" s="5"/>
      <c r="G101" s="5"/>
      <c r="H101" s="5"/>
      <c r="I101" s="5"/>
      <c r="J101" s="5"/>
      <c r="K101" s="5"/>
      <c r="L101" s="5"/>
      <c r="M101" s="5"/>
      <c r="N101" s="5"/>
      <c r="O101" s="5"/>
      <c r="P101" s="5"/>
      <c r="Q101" s="5"/>
      <c r="R101" s="5"/>
      <c r="S101" s="5"/>
      <c r="T101" s="5"/>
      <c r="U101" s="5"/>
      <c r="V101" s="5"/>
      <c r="W101" s="5"/>
      <c r="X101" s="5"/>
      <c r="Y101" s="5"/>
      <c r="Z101" s="5"/>
    </row>
    <row r="102" ht="13.5" customHeight="1">
      <c r="A102" s="5"/>
      <c r="B102" s="151" t="s">
        <v>77</v>
      </c>
      <c r="C102" s="152"/>
      <c r="D102" s="153">
        <v>1.0</v>
      </c>
      <c r="E102" s="5"/>
      <c r="F102" s="5"/>
      <c r="G102" s="5"/>
      <c r="H102" s="5"/>
      <c r="I102" s="5"/>
      <c r="J102" s="5"/>
      <c r="K102" s="5"/>
      <c r="L102" s="5"/>
      <c r="M102" s="5"/>
      <c r="N102" s="5"/>
      <c r="O102" s="5"/>
      <c r="P102" s="5"/>
      <c r="Q102" s="5"/>
      <c r="R102" s="5"/>
      <c r="S102" s="5"/>
      <c r="T102" s="5"/>
      <c r="U102" s="5"/>
      <c r="V102" s="5"/>
      <c r="W102" s="5"/>
      <c r="X102" s="5"/>
      <c r="Y102" s="5"/>
      <c r="Z102" s="5"/>
    </row>
    <row r="103" ht="13.5" customHeight="1">
      <c r="A103" s="5"/>
      <c r="B103" s="151" t="s">
        <v>80</v>
      </c>
      <c r="C103" s="152"/>
      <c r="D103" s="153">
        <v>1.0</v>
      </c>
      <c r="E103" s="5"/>
      <c r="F103" s="5"/>
      <c r="G103" s="5"/>
      <c r="H103" s="5"/>
      <c r="I103" s="5"/>
      <c r="J103" s="5"/>
      <c r="K103" s="5"/>
      <c r="L103" s="5"/>
      <c r="M103" s="5"/>
      <c r="N103" s="5"/>
      <c r="O103" s="5"/>
      <c r="P103" s="5"/>
      <c r="Q103" s="5"/>
      <c r="R103" s="5"/>
      <c r="S103" s="5"/>
      <c r="T103" s="5"/>
      <c r="U103" s="5"/>
      <c r="V103" s="5"/>
      <c r="W103" s="5"/>
      <c r="X103" s="5"/>
      <c r="Y103" s="5"/>
      <c r="Z103" s="5"/>
    </row>
    <row r="104" ht="13.5" customHeight="1">
      <c r="A104" s="5"/>
      <c r="B104" s="151" t="s">
        <v>83</v>
      </c>
      <c r="C104" s="152"/>
      <c r="D104" s="153">
        <v>1.0</v>
      </c>
      <c r="E104" s="5"/>
      <c r="F104" s="5"/>
      <c r="G104" s="5"/>
      <c r="H104" s="5"/>
      <c r="I104" s="5"/>
      <c r="J104" s="5"/>
      <c r="K104" s="5"/>
      <c r="L104" s="5"/>
      <c r="M104" s="5"/>
      <c r="N104" s="5"/>
      <c r="O104" s="5"/>
      <c r="P104" s="5"/>
      <c r="Q104" s="5"/>
      <c r="R104" s="5"/>
      <c r="S104" s="5"/>
      <c r="T104" s="5"/>
      <c r="U104" s="5"/>
      <c r="V104" s="5"/>
      <c r="W104" s="5"/>
      <c r="X104" s="5"/>
      <c r="Y104" s="5"/>
      <c r="Z104" s="5"/>
    </row>
    <row r="105" ht="13.5" customHeight="1">
      <c r="A105" s="5"/>
      <c r="B105" s="151" t="s">
        <v>85</v>
      </c>
      <c r="C105" s="152"/>
      <c r="D105" s="153">
        <v>1.0</v>
      </c>
      <c r="E105" s="5"/>
      <c r="F105" s="5"/>
      <c r="G105" s="5"/>
      <c r="H105" s="5"/>
      <c r="I105" s="5"/>
      <c r="J105" s="5"/>
      <c r="K105" s="5"/>
      <c r="L105" s="5"/>
      <c r="M105" s="5"/>
      <c r="N105" s="5"/>
      <c r="O105" s="5"/>
      <c r="P105" s="5"/>
      <c r="Q105" s="5"/>
      <c r="R105" s="5"/>
      <c r="S105" s="5"/>
      <c r="T105" s="5"/>
      <c r="U105" s="5"/>
      <c r="V105" s="5"/>
      <c r="W105" s="5"/>
      <c r="X105" s="5"/>
      <c r="Y105" s="5"/>
      <c r="Z105" s="5"/>
    </row>
    <row r="106" ht="13.5" customHeight="1">
      <c r="A106" s="5"/>
      <c r="B106" s="151" t="s">
        <v>87</v>
      </c>
      <c r="C106" s="152"/>
      <c r="D106" s="153">
        <v>2.0</v>
      </c>
      <c r="E106" s="5"/>
      <c r="F106" s="5"/>
      <c r="G106" s="5"/>
      <c r="H106" s="5"/>
      <c r="I106" s="5"/>
      <c r="J106" s="5"/>
      <c r="K106" s="5"/>
      <c r="L106" s="5"/>
      <c r="M106" s="5"/>
      <c r="N106" s="5"/>
      <c r="O106" s="5"/>
      <c r="P106" s="5"/>
      <c r="Q106" s="5"/>
      <c r="R106" s="5"/>
      <c r="S106" s="5"/>
      <c r="T106" s="5"/>
      <c r="U106" s="5"/>
      <c r="V106" s="5"/>
      <c r="W106" s="5"/>
      <c r="X106" s="5"/>
      <c r="Y106" s="5"/>
      <c r="Z106" s="5"/>
    </row>
    <row r="107" ht="13.5" customHeight="1">
      <c r="A107" s="5"/>
      <c r="B107" s="151" t="s">
        <v>91</v>
      </c>
      <c r="C107" s="152"/>
      <c r="D107" s="153">
        <v>1.0</v>
      </c>
      <c r="E107" s="5"/>
      <c r="F107" s="5"/>
      <c r="G107" s="5"/>
      <c r="H107" s="5"/>
      <c r="I107" s="5"/>
      <c r="J107" s="5"/>
      <c r="K107" s="5"/>
      <c r="L107" s="5"/>
      <c r="M107" s="5"/>
      <c r="N107" s="5"/>
      <c r="O107" s="5"/>
      <c r="P107" s="5"/>
      <c r="Q107" s="5"/>
      <c r="R107" s="5"/>
      <c r="S107" s="5"/>
      <c r="T107" s="5"/>
      <c r="U107" s="5"/>
      <c r="V107" s="5"/>
      <c r="W107" s="5"/>
      <c r="X107" s="5"/>
      <c r="Y107" s="5"/>
      <c r="Z107" s="5"/>
    </row>
    <row r="108" ht="13.5" customHeight="1">
      <c r="A108" s="5"/>
      <c r="B108" s="151" t="s">
        <v>94</v>
      </c>
      <c r="C108" s="152"/>
      <c r="D108" s="153">
        <v>2.0</v>
      </c>
      <c r="E108" s="5"/>
      <c r="F108" s="5"/>
      <c r="G108" s="5"/>
      <c r="H108" s="5"/>
      <c r="I108" s="5"/>
      <c r="J108" s="5"/>
      <c r="K108" s="5"/>
      <c r="L108" s="5"/>
      <c r="M108" s="5"/>
      <c r="N108" s="5"/>
      <c r="O108" s="5"/>
      <c r="P108" s="5"/>
      <c r="Q108" s="5"/>
      <c r="R108" s="5"/>
      <c r="S108" s="5"/>
      <c r="T108" s="5"/>
      <c r="U108" s="5"/>
      <c r="V108" s="5"/>
      <c r="W108" s="5"/>
      <c r="X108" s="5"/>
      <c r="Y108" s="5"/>
      <c r="Z108" s="5"/>
    </row>
    <row r="109" ht="13.5" customHeight="1">
      <c r="A109" s="5"/>
      <c r="B109" s="151" t="s">
        <v>96</v>
      </c>
      <c r="C109" s="152"/>
      <c r="D109" s="153">
        <v>2.0</v>
      </c>
      <c r="E109" s="5"/>
      <c r="F109" s="5"/>
      <c r="G109" s="5"/>
      <c r="H109" s="5"/>
      <c r="I109" s="5"/>
      <c r="J109" s="5"/>
      <c r="K109" s="5"/>
      <c r="L109" s="5"/>
      <c r="M109" s="5"/>
      <c r="N109" s="5"/>
      <c r="O109" s="5"/>
      <c r="P109" s="5"/>
      <c r="Q109" s="5"/>
      <c r="R109" s="5"/>
      <c r="S109" s="5"/>
      <c r="T109" s="5"/>
      <c r="U109" s="5"/>
      <c r="V109" s="5"/>
      <c r="W109" s="5"/>
      <c r="X109" s="5"/>
      <c r="Y109" s="5"/>
      <c r="Z109" s="5"/>
    </row>
    <row r="110" ht="13.5" customHeight="1">
      <c r="A110" s="5"/>
      <c r="B110" s="151" t="s">
        <v>98</v>
      </c>
      <c r="C110" s="152"/>
      <c r="D110" s="153">
        <v>2.0</v>
      </c>
      <c r="E110" s="5"/>
      <c r="F110" s="5"/>
      <c r="G110" s="5"/>
      <c r="H110" s="5"/>
      <c r="I110" s="5"/>
      <c r="J110" s="5"/>
      <c r="K110" s="5"/>
      <c r="L110" s="5"/>
      <c r="M110" s="5"/>
      <c r="N110" s="5"/>
      <c r="O110" s="5"/>
      <c r="P110" s="5"/>
      <c r="Q110" s="5"/>
      <c r="R110" s="5"/>
      <c r="S110" s="5"/>
      <c r="T110" s="5"/>
      <c r="U110" s="5"/>
      <c r="V110" s="5"/>
      <c r="W110" s="5"/>
      <c r="X110" s="5"/>
      <c r="Y110" s="5"/>
      <c r="Z110" s="5"/>
    </row>
    <row r="111" ht="13.5" customHeight="1">
      <c r="A111" s="5"/>
      <c r="B111" s="151" t="s">
        <v>101</v>
      </c>
      <c r="C111" s="152"/>
      <c r="D111" s="153">
        <v>2.0</v>
      </c>
      <c r="E111" s="5"/>
      <c r="F111" s="5"/>
      <c r="G111" s="5"/>
      <c r="H111" s="5"/>
      <c r="I111" s="5"/>
      <c r="J111" s="5"/>
      <c r="K111" s="5"/>
      <c r="L111" s="5"/>
      <c r="M111" s="5"/>
      <c r="N111" s="5"/>
      <c r="O111" s="5"/>
      <c r="P111" s="5"/>
      <c r="Q111" s="5"/>
      <c r="R111" s="5"/>
      <c r="S111" s="5"/>
      <c r="T111" s="5"/>
      <c r="U111" s="5"/>
      <c r="V111" s="5"/>
      <c r="W111" s="5"/>
      <c r="X111" s="5"/>
      <c r="Y111" s="5"/>
      <c r="Z111" s="5"/>
    </row>
    <row r="112" ht="13.5" customHeight="1">
      <c r="A112" s="5"/>
      <c r="B112" s="151" t="s">
        <v>104</v>
      </c>
      <c r="C112" s="152"/>
      <c r="D112" s="153">
        <v>2.0</v>
      </c>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33" t="s">
        <v>172</v>
      </c>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sheetData>
  <mergeCells count="32">
    <mergeCell ref="A1:J1"/>
    <mergeCell ref="A2:J2"/>
    <mergeCell ref="B4:H4"/>
    <mergeCell ref="B6:C6"/>
    <mergeCell ref="I6:J6"/>
    <mergeCell ref="B8:J8"/>
    <mergeCell ref="B36:F36"/>
    <mergeCell ref="B63:J63"/>
    <mergeCell ref="B90:F90"/>
    <mergeCell ref="B91:C91"/>
    <mergeCell ref="B92:C92"/>
    <mergeCell ref="B93:C93"/>
    <mergeCell ref="B94:C94"/>
    <mergeCell ref="B95:C95"/>
    <mergeCell ref="B96:C96"/>
    <mergeCell ref="B97:C97"/>
    <mergeCell ref="B98:C98"/>
    <mergeCell ref="B99:C99"/>
    <mergeCell ref="B100:C100"/>
    <mergeCell ref="B101:C101"/>
    <mergeCell ref="B102:C102"/>
    <mergeCell ref="B110:C110"/>
    <mergeCell ref="B111:C111"/>
    <mergeCell ref="B112:C112"/>
    <mergeCell ref="B114:I114"/>
    <mergeCell ref="B103:C103"/>
    <mergeCell ref="B104:C104"/>
    <mergeCell ref="B105:C105"/>
    <mergeCell ref="B106:C106"/>
    <mergeCell ref="B107:C107"/>
    <mergeCell ref="B108:C108"/>
    <mergeCell ref="B109:C109"/>
  </mergeCells>
  <conditionalFormatting sqref="B10:J34">
    <cfRule type="expression" dxfId="0" priority="1">
      <formula>OR($E10="",$G10="")</formula>
    </cfRule>
  </conditionalFormatting>
  <conditionalFormatting sqref="B10:J34">
    <cfRule type="expression" dxfId="1" priority="2">
      <formula>AND($E10&lt;&gt;"",$G10&lt;&gt;"",MIN($F10,$H10)&lt;=$G$6)</formula>
    </cfRule>
  </conditionalFormatting>
  <conditionalFormatting sqref="B10:J34">
    <cfRule type="expression" dxfId="2" priority="3">
      <formula>AND($E10&lt;&gt;"",$G10&lt;&gt;"",MIN($F10,$H10)&gt;$G$6,MIN($F10,$H10)&lt;=$E$6)</formula>
    </cfRule>
  </conditionalFormatting>
  <conditionalFormatting sqref="B38:G62">
    <cfRule type="expression" dxfId="0" priority="4">
      <formula>$D38=""</formula>
    </cfRule>
  </conditionalFormatting>
  <conditionalFormatting sqref="B38:G62">
    <cfRule type="expression" dxfId="1" priority="5">
      <formula>AND($D38&lt;&gt;"",$E38&lt;=$G$6)</formula>
    </cfRule>
  </conditionalFormatting>
  <conditionalFormatting sqref="B38:G62">
    <cfRule type="expression" dxfId="2" priority="6">
      <formula>AND($D38&lt;&gt;"",$E38&gt;$G$6,$E38&lt;=$E$6)</formula>
    </cfRule>
  </conditionalFormatting>
  <conditionalFormatting sqref="B65:J89">
    <cfRule type="expression" dxfId="0" priority="7">
      <formula>OR($D65="",$G65="")</formula>
    </cfRule>
  </conditionalFormatting>
  <conditionalFormatting sqref="B65:J89">
    <cfRule type="expression" dxfId="1" priority="8">
      <formula>AND($D65&lt;&gt;"",$G65&lt;&gt;"",MIN($E65,$H65)&lt;=$G$6)</formula>
    </cfRule>
  </conditionalFormatting>
  <conditionalFormatting sqref="B65:J89">
    <cfRule type="expression" dxfId="2" priority="9">
      <formula>AND($D65&lt;&gt;"",$G65&lt;&gt;"",MIN($E65,$H65)&gt;$G$6,MIN($E65,$H65)&lt;=$E$6)</formula>
    </cfRule>
  </conditionalFormatting>
  <printOptions/>
  <pageMargins bottom="1.0" footer="0.0" header="0.0" left="0.75" right="0.75" top="1.0"/>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B3A5B"/>
    <pageSetUpPr fitToPage="1"/>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1" width="2.29"/>
    <col customWidth="1" min="2" max="6" width="18.0"/>
    <col customWidth="1" min="7" max="7" width="22.43"/>
    <col customWidth="1" min="8" max="8" width="18.0"/>
    <col customWidth="1" min="9" max="9" width="12.43"/>
    <col customWidth="1" min="10" max="10" width="11.0"/>
    <col customWidth="1" min="11" max="11" width="24.57"/>
    <col customWidth="1" min="12" max="12" width="32.43"/>
    <col customWidth="1" min="13" max="26" width="8.71"/>
  </cols>
  <sheetData>
    <row r="1" ht="19.5" customHeight="1">
      <c r="A1" s="1" t="s">
        <v>0</v>
      </c>
      <c r="B1" s="2"/>
      <c r="C1" s="2"/>
      <c r="D1" s="2"/>
      <c r="E1" s="2"/>
      <c r="F1" s="2"/>
      <c r="G1" s="2"/>
      <c r="H1" s="2"/>
      <c r="I1" s="2"/>
      <c r="J1" s="2"/>
      <c r="K1" s="2"/>
      <c r="L1" s="4"/>
      <c r="M1" s="5"/>
      <c r="N1" s="5"/>
      <c r="O1" s="5"/>
      <c r="P1" s="5"/>
      <c r="Q1" s="5"/>
      <c r="R1" s="5"/>
      <c r="S1" s="5"/>
      <c r="T1" s="5"/>
      <c r="U1" s="5"/>
      <c r="V1" s="5"/>
      <c r="W1" s="5"/>
      <c r="X1" s="5"/>
      <c r="Y1" s="5"/>
      <c r="Z1" s="5"/>
    </row>
    <row r="2" ht="31.5" customHeight="1">
      <c r="A2" s="7" t="s">
        <v>3</v>
      </c>
      <c r="B2" s="2"/>
      <c r="C2" s="2"/>
      <c r="D2" s="2"/>
      <c r="E2" s="2"/>
      <c r="F2" s="2"/>
      <c r="G2" s="2"/>
      <c r="H2" s="2"/>
      <c r="I2" s="2"/>
      <c r="J2" s="2"/>
      <c r="K2" s="2"/>
      <c r="L2" s="4"/>
      <c r="M2" s="5"/>
      <c r="N2" s="5"/>
      <c r="O2" s="5"/>
      <c r="P2" s="5"/>
      <c r="Q2" s="5"/>
      <c r="R2" s="5"/>
      <c r="S2" s="5"/>
      <c r="T2" s="5"/>
      <c r="U2" s="5"/>
      <c r="V2" s="5"/>
      <c r="W2" s="5"/>
      <c r="X2" s="5"/>
      <c r="Y2" s="5"/>
      <c r="Z2" s="5"/>
    </row>
    <row r="3" ht="6.75" customHeight="1">
      <c r="A3" s="5"/>
      <c r="B3" s="5"/>
      <c r="C3" s="5"/>
      <c r="D3" s="5"/>
      <c r="E3" s="5"/>
      <c r="F3" s="5"/>
      <c r="G3" s="5"/>
      <c r="H3" s="5"/>
      <c r="I3" s="5"/>
      <c r="J3" s="5"/>
      <c r="K3" s="5"/>
      <c r="L3" s="5"/>
      <c r="M3" s="5"/>
      <c r="N3" s="5"/>
      <c r="O3" s="5"/>
      <c r="P3" s="5"/>
      <c r="Q3" s="5"/>
      <c r="R3" s="5"/>
      <c r="S3" s="5"/>
      <c r="T3" s="5"/>
      <c r="U3" s="5"/>
      <c r="V3" s="5"/>
      <c r="W3" s="5"/>
      <c r="X3" s="5"/>
      <c r="Y3" s="5"/>
      <c r="Z3" s="5"/>
    </row>
    <row r="4" ht="6.0" customHeight="1">
      <c r="A4" s="5"/>
      <c r="B4" s="5"/>
      <c r="C4" s="5"/>
      <c r="D4" s="5"/>
      <c r="E4" s="5"/>
      <c r="F4" s="5"/>
      <c r="G4" s="5"/>
      <c r="H4" s="5"/>
      <c r="I4" s="5"/>
      <c r="J4" s="5"/>
      <c r="K4" s="5"/>
      <c r="L4" s="5"/>
      <c r="M4" s="5"/>
      <c r="N4" s="5"/>
      <c r="O4" s="5"/>
      <c r="P4" s="5"/>
      <c r="Q4" s="5"/>
      <c r="R4" s="5"/>
      <c r="S4" s="5"/>
      <c r="T4" s="5"/>
      <c r="U4" s="5"/>
      <c r="V4" s="5"/>
      <c r="W4" s="5"/>
      <c r="X4" s="5"/>
      <c r="Y4" s="5"/>
      <c r="Z4" s="5"/>
    </row>
    <row r="5" ht="21.75" customHeight="1">
      <c r="A5" s="5"/>
      <c r="B5" s="10" t="s">
        <v>6</v>
      </c>
      <c r="C5" s="2"/>
      <c r="D5" s="2"/>
      <c r="E5" s="2"/>
      <c r="F5" s="2"/>
      <c r="G5" s="2"/>
      <c r="H5" s="2"/>
      <c r="I5" s="2"/>
      <c r="J5" s="2"/>
      <c r="K5" s="2"/>
      <c r="L5" s="4"/>
      <c r="M5" s="5"/>
      <c r="N5" s="5"/>
      <c r="O5" s="5"/>
      <c r="P5" s="5"/>
      <c r="Q5" s="5"/>
      <c r="R5" s="5"/>
      <c r="S5" s="5"/>
      <c r="T5" s="5"/>
      <c r="U5" s="5"/>
      <c r="V5" s="5"/>
      <c r="W5" s="5"/>
      <c r="X5" s="5"/>
      <c r="Y5" s="5"/>
      <c r="Z5" s="5"/>
    </row>
    <row r="6" ht="36.0" customHeight="1">
      <c r="A6" s="5"/>
      <c r="B6" s="14" t="s">
        <v>7</v>
      </c>
      <c r="C6" s="14" t="s">
        <v>9</v>
      </c>
      <c r="D6" s="14" t="s">
        <v>10</v>
      </c>
      <c r="E6" s="14" t="s">
        <v>11</v>
      </c>
      <c r="F6" s="14" t="s">
        <v>12</v>
      </c>
      <c r="G6" s="14" t="s">
        <v>13</v>
      </c>
      <c r="H6" s="14" t="s">
        <v>14</v>
      </c>
      <c r="I6" s="14" t="s">
        <v>15</v>
      </c>
      <c r="J6" s="14" t="s">
        <v>16</v>
      </c>
      <c r="K6" s="14" t="s">
        <v>18</v>
      </c>
      <c r="L6" s="14" t="s">
        <v>19</v>
      </c>
      <c r="M6" s="5"/>
      <c r="N6" s="5"/>
      <c r="O6" s="5"/>
      <c r="P6" s="5"/>
      <c r="Q6" s="5"/>
      <c r="R6" s="5"/>
      <c r="S6" s="5"/>
      <c r="T6" s="5"/>
      <c r="U6" s="5"/>
      <c r="V6" s="5"/>
      <c r="W6" s="5"/>
      <c r="X6" s="5"/>
      <c r="Y6" s="5"/>
      <c r="Z6" s="5"/>
    </row>
    <row r="7" ht="15.75" customHeight="1">
      <c r="A7" s="19"/>
      <c r="B7" s="21">
        <v>1.0</v>
      </c>
      <c r="C7" s="21" t="s">
        <v>21</v>
      </c>
      <c r="D7" s="24">
        <v>15000.0</v>
      </c>
      <c r="E7" s="39" t="str">
        <f t="shared" ref="E7:E10" si="1">IF(COUNT(OFFSET($B$35,($B7-1)*8,0,5,1))=0,"",INDEX(OFFSET($C$35,($B7-1)*8,0,5,1),MATCH(MAX(OFFSET($B$35,($B7-1)*8,0,5,1)),OFFSET($B$35,($B7-1)*8,0,5,1),0)))</f>
        <v/>
      </c>
      <c r="F7" s="45" t="str">
        <f t="shared" ref="F7:F10" si="2">IF(COUNT(OFFSET($B$35,($B7-1)*8,0,5,1))=0,"",MAX(OFFSET($B$35,($B7-1)*8,0,5,1)))</f>
        <v/>
      </c>
      <c r="G7" s="46">
        <v>120615.0</v>
      </c>
      <c r="H7" s="48"/>
      <c r="I7" s="51" t="str">
        <f t="shared" ref="I7:I30" si="3">IF(E7="","",E7+D7)</f>
        <v/>
      </c>
      <c r="J7" s="56" t="str">
        <f t="shared" ref="J7:J30" si="4">IF(OR($I7="",$G7=""),"",$I7-$G7)</f>
        <v/>
      </c>
      <c r="K7" s="21" t="str">
        <f t="shared" ref="K7:K30" si="5">IF(OR($I7="",$G7=""),"Thiếu số liệu",IF($J7&lt;=1000,"Sắp / quá hạn",IF($J7&lt;=3000,"Gần tới hạn","Còn xa")))</f>
        <v>Thiếu số liệu</v>
      </c>
      <c r="L7" s="64" t="s">
        <v>54</v>
      </c>
      <c r="M7" s="19"/>
      <c r="N7" s="19"/>
      <c r="O7" s="19"/>
      <c r="P7" s="19"/>
      <c r="Q7" s="19"/>
      <c r="R7" s="19"/>
      <c r="S7" s="19"/>
      <c r="T7" s="19"/>
      <c r="U7" s="19"/>
      <c r="V7" s="19"/>
      <c r="W7" s="19"/>
      <c r="X7" s="19"/>
      <c r="Y7" s="19"/>
      <c r="Z7" s="19"/>
    </row>
    <row r="8" ht="15.75" customHeight="1">
      <c r="A8" s="19"/>
      <c r="B8" s="21">
        <v>2.0</v>
      </c>
      <c r="C8" s="21" t="s">
        <v>55</v>
      </c>
      <c r="D8" s="24">
        <v>15000.0</v>
      </c>
      <c r="E8" s="39" t="str">
        <f t="shared" si="1"/>
        <v/>
      </c>
      <c r="F8" s="45" t="str">
        <f t="shared" si="2"/>
        <v/>
      </c>
      <c r="G8" s="46">
        <v>118000.0</v>
      </c>
      <c r="H8" s="69">
        <v>39637.0</v>
      </c>
      <c r="I8" s="51" t="str">
        <f t="shared" si="3"/>
        <v/>
      </c>
      <c r="J8" s="56" t="str">
        <f t="shared" si="4"/>
        <v/>
      </c>
      <c r="K8" s="21" t="str">
        <f t="shared" si="5"/>
        <v>Thiếu số liệu</v>
      </c>
      <c r="L8" s="64" t="s">
        <v>59</v>
      </c>
      <c r="M8" s="19"/>
      <c r="N8" s="19"/>
      <c r="O8" s="19"/>
      <c r="P8" s="19"/>
      <c r="Q8" s="19"/>
      <c r="R8" s="19"/>
      <c r="S8" s="19"/>
      <c r="T8" s="19"/>
      <c r="U8" s="19"/>
      <c r="V8" s="19"/>
      <c r="W8" s="19"/>
      <c r="X8" s="19"/>
      <c r="Y8" s="19"/>
      <c r="Z8" s="19"/>
    </row>
    <row r="9" ht="15.75" customHeight="1">
      <c r="A9" s="19"/>
      <c r="B9" s="21">
        <v>3.0</v>
      </c>
      <c r="C9" s="21" t="s">
        <v>57</v>
      </c>
      <c r="D9" s="24">
        <v>15000.0</v>
      </c>
      <c r="E9" s="39" t="str">
        <f t="shared" si="1"/>
        <v/>
      </c>
      <c r="F9" s="45" t="str">
        <f t="shared" si="2"/>
        <v/>
      </c>
      <c r="G9" s="46">
        <v>115646.0</v>
      </c>
      <c r="H9" s="69"/>
      <c r="I9" s="51" t="str">
        <f t="shared" si="3"/>
        <v/>
      </c>
      <c r="J9" s="56" t="str">
        <f t="shared" si="4"/>
        <v/>
      </c>
      <c r="K9" s="21" t="str">
        <f t="shared" si="5"/>
        <v>Thiếu số liệu</v>
      </c>
      <c r="L9" s="64" t="s">
        <v>62</v>
      </c>
      <c r="M9" s="19"/>
      <c r="N9" s="19"/>
      <c r="O9" s="19"/>
      <c r="P9" s="19"/>
      <c r="Q9" s="19"/>
      <c r="R9" s="19"/>
      <c r="S9" s="19"/>
      <c r="T9" s="19"/>
      <c r="U9" s="19"/>
      <c r="V9" s="19"/>
      <c r="W9" s="19"/>
      <c r="X9" s="19"/>
      <c r="Y9" s="19"/>
      <c r="Z9" s="19"/>
    </row>
    <row r="10" ht="15.75" customHeight="1">
      <c r="A10" s="19"/>
      <c r="B10" s="21">
        <v>4.0</v>
      </c>
      <c r="C10" s="21" t="s">
        <v>60</v>
      </c>
      <c r="D10" s="24">
        <v>15000.0</v>
      </c>
      <c r="E10" s="39" t="str">
        <f t="shared" si="1"/>
        <v/>
      </c>
      <c r="F10" s="45" t="str">
        <f t="shared" si="2"/>
        <v/>
      </c>
      <c r="G10" s="46">
        <v>104944.0</v>
      </c>
      <c r="H10" s="69"/>
      <c r="I10" s="51" t="str">
        <f t="shared" si="3"/>
        <v/>
      </c>
      <c r="J10" s="56" t="str">
        <f t="shared" si="4"/>
        <v/>
      </c>
      <c r="K10" s="21" t="str">
        <f t="shared" si="5"/>
        <v>Thiếu số liệu</v>
      </c>
      <c r="L10" s="64" t="s">
        <v>65</v>
      </c>
      <c r="M10" s="19"/>
      <c r="N10" s="19"/>
      <c r="O10" s="19"/>
      <c r="P10" s="19"/>
      <c r="Q10" s="19"/>
      <c r="R10" s="19"/>
      <c r="S10" s="19"/>
      <c r="T10" s="19"/>
      <c r="U10" s="19"/>
      <c r="V10" s="19"/>
      <c r="W10" s="19"/>
      <c r="X10" s="19"/>
      <c r="Y10" s="19"/>
      <c r="Z10" s="19"/>
    </row>
    <row r="11" ht="15.75" customHeight="1">
      <c r="A11" s="19"/>
      <c r="B11" s="21">
        <v>5.0</v>
      </c>
      <c r="C11" s="75" t="s">
        <v>63</v>
      </c>
      <c r="D11" s="24">
        <v>15000.0</v>
      </c>
      <c r="E11" s="39">
        <v>108940.0</v>
      </c>
      <c r="F11" s="77">
        <v>46261.0</v>
      </c>
      <c r="G11" s="46">
        <v>108940.0</v>
      </c>
      <c r="H11" s="48"/>
      <c r="I11" s="51">
        <f t="shared" si="3"/>
        <v>123940</v>
      </c>
      <c r="J11" s="56">
        <f t="shared" si="4"/>
        <v>15000</v>
      </c>
      <c r="K11" s="21" t="str">
        <f t="shared" si="5"/>
        <v>Còn xa</v>
      </c>
      <c r="L11" s="81"/>
      <c r="M11" s="19"/>
      <c r="N11" s="19"/>
      <c r="O11" s="19"/>
      <c r="P11" s="19"/>
      <c r="Q11" s="19"/>
      <c r="R11" s="19"/>
      <c r="S11" s="19"/>
      <c r="T11" s="19"/>
      <c r="U11" s="19"/>
      <c r="V11" s="19"/>
      <c r="W11" s="19"/>
      <c r="X11" s="19"/>
      <c r="Y11" s="19"/>
      <c r="Z11" s="19"/>
    </row>
    <row r="12" ht="15.75" customHeight="1">
      <c r="A12" s="19"/>
      <c r="B12" s="21">
        <v>6.0</v>
      </c>
      <c r="C12" s="21" t="s">
        <v>66</v>
      </c>
      <c r="D12" s="24">
        <v>15000.0</v>
      </c>
      <c r="E12" s="39">
        <f t="shared" ref="E12:E30" si="6">IF(COUNT(OFFSET($B$35,($B12-1)*8,0,5,1))=0,"",INDEX(OFFSET($C$35,($B12-1)*8,0,5,1),MATCH(MAX(OFFSET($B$35,($B12-1)*8,0,5,1)),OFFSET($B$35,($B12-1)*8,0,5,1),0)))</f>
        <v>46183</v>
      </c>
      <c r="F12" s="45">
        <f>IF(COUNT(OFFSET($B$35,($B12-1)*8,0,5,1))=0,"",MAX(OFFSET($B$35,($B12-1)*8,0,5,1)))</f>
        <v>46219</v>
      </c>
      <c r="G12" s="46">
        <v>105895.0</v>
      </c>
      <c r="H12" s="48"/>
      <c r="I12" s="51">
        <f t="shared" si="3"/>
        <v>61183</v>
      </c>
      <c r="J12" s="56">
        <f t="shared" si="4"/>
        <v>-44712</v>
      </c>
      <c r="K12" s="21" t="str">
        <f t="shared" si="5"/>
        <v>Sắp / quá hạn</v>
      </c>
      <c r="L12" s="81"/>
      <c r="M12" s="19"/>
      <c r="N12" s="19"/>
      <c r="O12" s="19"/>
      <c r="P12" s="19"/>
      <c r="Q12" s="19"/>
      <c r="R12" s="19"/>
      <c r="S12" s="19"/>
      <c r="T12" s="19"/>
      <c r="U12" s="19"/>
      <c r="V12" s="19"/>
      <c r="W12" s="19"/>
      <c r="X12" s="19"/>
      <c r="Y12" s="19"/>
      <c r="Z12" s="19"/>
    </row>
    <row r="13" ht="15.75" customHeight="1">
      <c r="A13" s="19"/>
      <c r="B13" s="21">
        <v>7.0</v>
      </c>
      <c r="C13" s="21" t="s">
        <v>68</v>
      </c>
      <c r="D13" s="24">
        <v>15000.0</v>
      </c>
      <c r="E13" s="39">
        <f t="shared" si="6"/>
        <v>90824</v>
      </c>
      <c r="F13" s="45"/>
      <c r="G13" s="46">
        <v>91411.0</v>
      </c>
      <c r="H13" s="69"/>
      <c r="I13" s="51">
        <f t="shared" si="3"/>
        <v>105824</v>
      </c>
      <c r="J13" s="56">
        <f t="shared" si="4"/>
        <v>14413</v>
      </c>
      <c r="K13" s="21" t="str">
        <f t="shared" si="5"/>
        <v>Còn xa</v>
      </c>
      <c r="L13" s="81"/>
      <c r="M13" s="19"/>
      <c r="N13" s="19"/>
      <c r="O13" s="19"/>
      <c r="P13" s="19"/>
      <c r="Q13" s="19"/>
      <c r="R13" s="19"/>
      <c r="S13" s="19"/>
      <c r="T13" s="19"/>
      <c r="U13" s="19"/>
      <c r="V13" s="19"/>
      <c r="W13" s="19"/>
      <c r="X13" s="19"/>
      <c r="Y13" s="19"/>
      <c r="Z13" s="19"/>
    </row>
    <row r="14" ht="15.75" customHeight="1">
      <c r="A14" s="19"/>
      <c r="B14" s="21">
        <v>8.0</v>
      </c>
      <c r="C14" s="21" t="s">
        <v>70</v>
      </c>
      <c r="D14" s="24">
        <v>15000.0</v>
      </c>
      <c r="E14" s="39">
        <f t="shared" si="6"/>
        <v>86274</v>
      </c>
      <c r="F14" s="45">
        <f>IF(COUNT(OFFSET($B$35,($B14-1)*8,0,5,1))=0,"",MAX(OFFSET($B$35,($B14-1)*8,0,5,1)))</f>
        <v>46258</v>
      </c>
      <c r="G14" s="87">
        <v>86275.0</v>
      </c>
      <c r="H14" s="69"/>
      <c r="I14" s="51">
        <f t="shared" si="3"/>
        <v>101274</v>
      </c>
      <c r="J14" s="56">
        <f t="shared" si="4"/>
        <v>14999</v>
      </c>
      <c r="K14" s="21" t="str">
        <f t="shared" si="5"/>
        <v>Còn xa</v>
      </c>
      <c r="L14" s="81"/>
      <c r="M14" s="19"/>
      <c r="N14" s="19"/>
      <c r="O14" s="19"/>
      <c r="P14" s="19"/>
      <c r="Q14" s="19"/>
      <c r="R14" s="19"/>
      <c r="S14" s="19"/>
      <c r="T14" s="19"/>
      <c r="U14" s="19"/>
      <c r="V14" s="19"/>
      <c r="W14" s="19"/>
      <c r="X14" s="19"/>
      <c r="Y14" s="19"/>
      <c r="Z14" s="19"/>
    </row>
    <row r="15" ht="15.75" customHeight="1">
      <c r="A15" s="19"/>
      <c r="B15" s="21">
        <v>9.0</v>
      </c>
      <c r="C15" s="88" t="s">
        <v>89</v>
      </c>
      <c r="D15" s="24">
        <v>15000.0</v>
      </c>
      <c r="E15" s="39" t="str">
        <f t="shared" si="6"/>
        <v/>
      </c>
      <c r="F15" s="77"/>
      <c r="G15" s="46">
        <v>113.0</v>
      </c>
      <c r="H15" s="91"/>
      <c r="I15" s="51" t="str">
        <f t="shared" si="3"/>
        <v/>
      </c>
      <c r="J15" s="56" t="str">
        <f t="shared" si="4"/>
        <v/>
      </c>
      <c r="K15" s="21" t="str">
        <f t="shared" si="5"/>
        <v>Thiếu số liệu</v>
      </c>
      <c r="L15" s="64" t="s">
        <v>90</v>
      </c>
      <c r="M15" s="19"/>
      <c r="N15" s="19"/>
      <c r="O15" s="19"/>
      <c r="P15" s="19"/>
      <c r="Q15" s="19"/>
      <c r="R15" s="19"/>
      <c r="S15" s="19"/>
      <c r="T15" s="19"/>
      <c r="U15" s="19"/>
      <c r="V15" s="19"/>
      <c r="W15" s="19"/>
      <c r="X15" s="19"/>
      <c r="Y15" s="19"/>
      <c r="Z15" s="19"/>
    </row>
    <row r="16" ht="15.75" customHeight="1">
      <c r="A16" s="19"/>
      <c r="B16" s="21">
        <v>10.0</v>
      </c>
      <c r="C16" s="21" t="s">
        <v>93</v>
      </c>
      <c r="D16" s="24">
        <v>15000.0</v>
      </c>
      <c r="E16" s="39">
        <f t="shared" si="6"/>
        <v>75211</v>
      </c>
      <c r="F16" s="45">
        <f t="shared" ref="F16:F28" si="7">IF(COUNT(OFFSET($B$35,($B16-1)*8,0,5,1))=0,"",MAX(OFFSET($B$35,($B16-1)*8,0,5,1)))</f>
        <v>46200</v>
      </c>
      <c r="G16" s="93">
        <v>84199.0</v>
      </c>
      <c r="H16" s="48"/>
      <c r="I16" s="51">
        <f t="shared" si="3"/>
        <v>90211</v>
      </c>
      <c r="J16" s="56">
        <f t="shared" si="4"/>
        <v>6012</v>
      </c>
      <c r="K16" s="21" t="str">
        <f t="shared" si="5"/>
        <v>Còn xa</v>
      </c>
      <c r="L16" s="81"/>
      <c r="M16" s="19"/>
      <c r="N16" s="19"/>
      <c r="O16" s="19"/>
      <c r="P16" s="19"/>
      <c r="Q16" s="19"/>
      <c r="R16" s="19"/>
      <c r="S16" s="19"/>
      <c r="T16" s="19"/>
      <c r="U16" s="19"/>
      <c r="V16" s="19"/>
      <c r="W16" s="19"/>
      <c r="X16" s="19"/>
      <c r="Y16" s="19"/>
      <c r="Z16" s="19"/>
    </row>
    <row r="17" ht="15.75" customHeight="1">
      <c r="A17" s="19"/>
      <c r="B17" s="21">
        <v>11.0</v>
      </c>
      <c r="C17" s="21" t="s">
        <v>77</v>
      </c>
      <c r="D17" s="24">
        <v>15000.0</v>
      </c>
      <c r="E17" s="39" t="str">
        <f t="shared" si="6"/>
        <v/>
      </c>
      <c r="F17" s="45" t="str">
        <f t="shared" si="7"/>
        <v/>
      </c>
      <c r="G17" s="46">
        <v>65193.0</v>
      </c>
      <c r="H17" s="69">
        <v>65193.0</v>
      </c>
      <c r="I17" s="51" t="str">
        <f t="shared" si="3"/>
        <v/>
      </c>
      <c r="J17" s="56" t="str">
        <f t="shared" si="4"/>
        <v/>
      </c>
      <c r="K17" s="21" t="str">
        <f t="shared" si="5"/>
        <v>Thiếu số liệu</v>
      </c>
      <c r="L17" s="64" t="s">
        <v>100</v>
      </c>
      <c r="M17" s="19"/>
      <c r="N17" s="19"/>
      <c r="O17" s="19"/>
      <c r="P17" s="19"/>
      <c r="Q17" s="19"/>
      <c r="R17" s="19"/>
      <c r="S17" s="19"/>
      <c r="T17" s="19"/>
      <c r="U17" s="19"/>
      <c r="V17" s="19"/>
      <c r="W17" s="19"/>
      <c r="X17" s="19"/>
      <c r="Y17" s="19"/>
      <c r="Z17" s="19"/>
    </row>
    <row r="18" ht="15.75" customHeight="1">
      <c r="A18" s="19"/>
      <c r="B18" s="21">
        <v>12.0</v>
      </c>
      <c r="C18" s="21" t="s">
        <v>80</v>
      </c>
      <c r="D18" s="24">
        <v>15000.0</v>
      </c>
      <c r="E18" s="39">
        <f t="shared" si="6"/>
        <v>71266</v>
      </c>
      <c r="F18" s="45">
        <f t="shared" si="7"/>
        <v>46258</v>
      </c>
      <c r="G18" s="95" t="s">
        <v>103</v>
      </c>
      <c r="H18" s="69"/>
      <c r="I18" s="51">
        <f t="shared" si="3"/>
        <v>86266</v>
      </c>
      <c r="J18" s="56">
        <f t="shared" si="4"/>
        <v>14996</v>
      </c>
      <c r="K18" s="21" t="str">
        <f t="shared" si="5"/>
        <v>Còn xa</v>
      </c>
      <c r="L18" s="81"/>
      <c r="M18" s="19"/>
      <c r="N18" s="19"/>
      <c r="O18" s="19"/>
      <c r="P18" s="19"/>
      <c r="Q18" s="19"/>
      <c r="R18" s="19"/>
      <c r="S18" s="19"/>
      <c r="T18" s="19"/>
      <c r="U18" s="19"/>
      <c r="V18" s="19"/>
      <c r="W18" s="19"/>
      <c r="X18" s="19"/>
      <c r="Y18" s="19"/>
      <c r="Z18" s="19"/>
    </row>
    <row r="19" ht="15.75" customHeight="1">
      <c r="A19" s="19"/>
      <c r="B19" s="21">
        <v>13.0</v>
      </c>
      <c r="C19" s="21" t="s">
        <v>83</v>
      </c>
      <c r="D19" s="24">
        <v>15000.0</v>
      </c>
      <c r="E19" s="39">
        <f t="shared" si="6"/>
        <v>53946</v>
      </c>
      <c r="F19" s="45">
        <f t="shared" si="7"/>
        <v>46257</v>
      </c>
      <c r="G19" s="87">
        <v>53950.0</v>
      </c>
      <c r="H19" s="48"/>
      <c r="I19" s="51">
        <f t="shared" si="3"/>
        <v>68946</v>
      </c>
      <c r="J19" s="56">
        <f t="shared" si="4"/>
        <v>14996</v>
      </c>
      <c r="K19" s="21" t="str">
        <f t="shared" si="5"/>
        <v>Còn xa</v>
      </c>
      <c r="L19" s="81"/>
      <c r="M19" s="19"/>
      <c r="N19" s="19"/>
      <c r="O19" s="19"/>
      <c r="P19" s="19"/>
      <c r="Q19" s="19"/>
      <c r="R19" s="19"/>
      <c r="S19" s="19"/>
      <c r="T19" s="19"/>
      <c r="U19" s="19"/>
      <c r="V19" s="19"/>
      <c r="W19" s="19"/>
      <c r="X19" s="19"/>
      <c r="Y19" s="19"/>
      <c r="Z19" s="19"/>
    </row>
    <row r="20" ht="15.75" customHeight="1">
      <c r="A20" s="19"/>
      <c r="B20" s="21">
        <v>14.0</v>
      </c>
      <c r="C20" s="104" t="s">
        <v>85</v>
      </c>
      <c r="D20" s="24">
        <v>15000.0</v>
      </c>
      <c r="E20" s="39" t="str">
        <f t="shared" si="6"/>
        <v/>
      </c>
      <c r="F20" s="45" t="str">
        <f t="shared" si="7"/>
        <v/>
      </c>
      <c r="G20" s="46">
        <v>52093.0</v>
      </c>
      <c r="H20" s="48"/>
      <c r="I20" s="51" t="str">
        <f t="shared" si="3"/>
        <v/>
      </c>
      <c r="J20" s="56" t="str">
        <f t="shared" si="4"/>
        <v/>
      </c>
      <c r="K20" s="21" t="str">
        <f t="shared" si="5"/>
        <v>Thiếu số liệu</v>
      </c>
      <c r="L20" s="64" t="s">
        <v>110</v>
      </c>
      <c r="M20" s="19"/>
      <c r="N20" s="19"/>
      <c r="O20" s="19"/>
      <c r="P20" s="19"/>
      <c r="Q20" s="19"/>
      <c r="R20" s="19"/>
      <c r="S20" s="19"/>
      <c r="T20" s="19"/>
      <c r="U20" s="19"/>
      <c r="V20" s="19"/>
      <c r="W20" s="19"/>
      <c r="X20" s="19"/>
      <c r="Y20" s="19"/>
      <c r="Z20" s="19"/>
    </row>
    <row r="21" ht="15.75" customHeight="1">
      <c r="A21" s="19"/>
      <c r="B21" s="21">
        <v>15.0</v>
      </c>
      <c r="C21" s="104" t="s">
        <v>91</v>
      </c>
      <c r="D21" s="24">
        <v>15000.0</v>
      </c>
      <c r="E21" s="39" t="str">
        <f t="shared" si="6"/>
        <v/>
      </c>
      <c r="F21" s="45" t="str">
        <f t="shared" si="7"/>
        <v/>
      </c>
      <c r="G21" s="46">
        <v>38713.0</v>
      </c>
      <c r="H21" s="48"/>
      <c r="I21" s="51" t="str">
        <f t="shared" si="3"/>
        <v/>
      </c>
      <c r="J21" s="56" t="str">
        <f t="shared" si="4"/>
        <v/>
      </c>
      <c r="K21" s="21" t="str">
        <f t="shared" si="5"/>
        <v>Thiếu số liệu</v>
      </c>
      <c r="L21" s="64" t="s">
        <v>113</v>
      </c>
      <c r="M21" s="19"/>
      <c r="N21" s="19"/>
      <c r="O21" s="19"/>
      <c r="P21" s="19"/>
      <c r="Q21" s="19"/>
      <c r="R21" s="19"/>
      <c r="S21" s="19"/>
      <c r="T21" s="19"/>
      <c r="U21" s="19"/>
      <c r="V21" s="19"/>
      <c r="W21" s="19"/>
      <c r="X21" s="19"/>
      <c r="Y21" s="19"/>
      <c r="Z21" s="19"/>
    </row>
    <row r="22" ht="15.75" customHeight="1">
      <c r="A22" s="19"/>
      <c r="B22" s="21">
        <v>16.0</v>
      </c>
      <c r="C22" s="21" t="s">
        <v>87</v>
      </c>
      <c r="D22" s="24">
        <v>15000.0</v>
      </c>
      <c r="E22" s="39">
        <f t="shared" si="6"/>
        <v>32887</v>
      </c>
      <c r="F22" s="45">
        <f t="shared" si="7"/>
        <v>46183</v>
      </c>
      <c r="G22" s="46">
        <v>45456.0</v>
      </c>
      <c r="H22" s="69">
        <v>44168.0</v>
      </c>
      <c r="I22" s="51">
        <f t="shared" si="3"/>
        <v>47887</v>
      </c>
      <c r="J22" s="56">
        <f t="shared" si="4"/>
        <v>2431</v>
      </c>
      <c r="K22" s="21" t="str">
        <f t="shared" si="5"/>
        <v>Gần tới hạn</v>
      </c>
      <c r="L22" s="81"/>
      <c r="M22" s="19"/>
      <c r="N22" s="19"/>
      <c r="O22" s="19"/>
      <c r="P22" s="19"/>
      <c r="Q22" s="19"/>
      <c r="R22" s="19"/>
      <c r="S22" s="19"/>
      <c r="T22" s="19"/>
      <c r="U22" s="19"/>
      <c r="V22" s="19"/>
      <c r="W22" s="19"/>
      <c r="X22" s="19"/>
      <c r="Y22" s="19"/>
      <c r="Z22" s="19"/>
    </row>
    <row r="23" ht="15.75" customHeight="1">
      <c r="A23" s="19"/>
      <c r="B23" s="21">
        <v>17.0</v>
      </c>
      <c r="C23" s="21" t="s">
        <v>101</v>
      </c>
      <c r="D23" s="24">
        <v>15000.0</v>
      </c>
      <c r="E23" s="39">
        <f t="shared" si="6"/>
        <v>31889</v>
      </c>
      <c r="F23" s="45">
        <f t="shared" si="7"/>
        <v>46253</v>
      </c>
      <c r="G23" s="46">
        <v>31956.0</v>
      </c>
      <c r="H23" s="69">
        <v>30646.0</v>
      </c>
      <c r="I23" s="51">
        <f t="shared" si="3"/>
        <v>46889</v>
      </c>
      <c r="J23" s="56">
        <f t="shared" si="4"/>
        <v>14933</v>
      </c>
      <c r="K23" s="21" t="str">
        <f t="shared" si="5"/>
        <v>Còn xa</v>
      </c>
      <c r="L23" s="81"/>
      <c r="M23" s="19"/>
      <c r="N23" s="19"/>
      <c r="O23" s="19"/>
      <c r="P23" s="19"/>
      <c r="Q23" s="19"/>
      <c r="R23" s="19"/>
      <c r="S23" s="19"/>
      <c r="T23" s="19"/>
      <c r="U23" s="19"/>
      <c r="V23" s="19"/>
      <c r="W23" s="19"/>
      <c r="X23" s="19"/>
      <c r="Y23" s="19"/>
      <c r="Z23" s="19"/>
    </row>
    <row r="24" ht="15.75" customHeight="1">
      <c r="A24" s="19"/>
      <c r="B24" s="21">
        <v>18.0</v>
      </c>
      <c r="C24" s="21" t="s">
        <v>98</v>
      </c>
      <c r="D24" s="24">
        <v>15000.0</v>
      </c>
      <c r="E24" s="39">
        <f t="shared" si="6"/>
        <v>33083</v>
      </c>
      <c r="F24" s="45">
        <f t="shared" si="7"/>
        <v>46255</v>
      </c>
      <c r="G24" s="46">
        <v>32985.0</v>
      </c>
      <c r="H24" s="69">
        <v>26761.0</v>
      </c>
      <c r="I24" s="51">
        <f t="shared" si="3"/>
        <v>48083</v>
      </c>
      <c r="J24" s="56">
        <f t="shared" si="4"/>
        <v>15098</v>
      </c>
      <c r="K24" s="21" t="str">
        <f t="shared" si="5"/>
        <v>Còn xa</v>
      </c>
      <c r="L24" s="81"/>
      <c r="M24" s="19"/>
      <c r="N24" s="19"/>
      <c r="O24" s="19"/>
      <c r="P24" s="19"/>
      <c r="Q24" s="19"/>
      <c r="R24" s="19"/>
      <c r="S24" s="19"/>
      <c r="T24" s="19"/>
      <c r="U24" s="19"/>
      <c r="V24" s="19"/>
      <c r="W24" s="19"/>
      <c r="X24" s="19"/>
      <c r="Y24" s="19"/>
      <c r="Z24" s="19"/>
    </row>
    <row r="25" ht="15.75" customHeight="1">
      <c r="A25" s="19"/>
      <c r="B25" s="21">
        <v>19.0</v>
      </c>
      <c r="C25" s="21" t="s">
        <v>96</v>
      </c>
      <c r="D25" s="24">
        <v>15000.0</v>
      </c>
      <c r="E25" s="39">
        <f t="shared" si="6"/>
        <v>13959</v>
      </c>
      <c r="F25" s="45">
        <f t="shared" si="7"/>
        <v>46167</v>
      </c>
      <c r="G25" s="113">
        <v>26761.0</v>
      </c>
      <c r="H25" s="69"/>
      <c r="I25" s="51">
        <f t="shared" si="3"/>
        <v>28959</v>
      </c>
      <c r="J25" s="56">
        <f t="shared" si="4"/>
        <v>2198</v>
      </c>
      <c r="K25" s="21" t="str">
        <f t="shared" si="5"/>
        <v>Gần tới hạn</v>
      </c>
      <c r="L25" s="81" t="s">
        <v>121</v>
      </c>
      <c r="M25" s="19"/>
      <c r="N25" s="19"/>
      <c r="O25" s="19"/>
      <c r="P25" s="19"/>
      <c r="Q25" s="19"/>
      <c r="R25" s="19"/>
      <c r="S25" s="19"/>
      <c r="T25" s="19"/>
      <c r="U25" s="19"/>
      <c r="V25" s="19"/>
      <c r="W25" s="19"/>
      <c r="X25" s="19"/>
      <c r="Y25" s="19"/>
      <c r="Z25" s="19"/>
    </row>
    <row r="26" ht="15.75" customHeight="1">
      <c r="A26" s="19"/>
      <c r="B26" s="21">
        <v>20.0</v>
      </c>
      <c r="C26" s="21" t="s">
        <v>94</v>
      </c>
      <c r="D26" s="24">
        <v>15000.0</v>
      </c>
      <c r="E26" s="39">
        <f t="shared" si="6"/>
        <v>21155</v>
      </c>
      <c r="F26" s="45">
        <f t="shared" si="7"/>
        <v>46227</v>
      </c>
      <c r="G26" s="46">
        <v>25768.0</v>
      </c>
      <c r="H26" s="69"/>
      <c r="I26" s="51">
        <f t="shared" si="3"/>
        <v>36155</v>
      </c>
      <c r="J26" s="56">
        <f t="shared" si="4"/>
        <v>10387</v>
      </c>
      <c r="K26" s="21" t="str">
        <f t="shared" si="5"/>
        <v>Còn xa</v>
      </c>
      <c r="L26" s="81" t="s">
        <v>121</v>
      </c>
      <c r="M26" s="19"/>
      <c r="N26" s="19"/>
      <c r="O26" s="19"/>
      <c r="P26" s="19"/>
      <c r="Q26" s="19"/>
      <c r="R26" s="19"/>
      <c r="S26" s="19"/>
      <c r="T26" s="19"/>
      <c r="U26" s="19"/>
      <c r="V26" s="19"/>
      <c r="W26" s="19"/>
      <c r="X26" s="19"/>
      <c r="Y26" s="19"/>
      <c r="Z26" s="19"/>
    </row>
    <row r="27" ht="15.75" customHeight="1">
      <c r="A27" s="19"/>
      <c r="B27" s="21">
        <v>21.0</v>
      </c>
      <c r="C27" s="21" t="s">
        <v>108</v>
      </c>
      <c r="D27" s="24">
        <v>35000.0</v>
      </c>
      <c r="E27" s="39">
        <f t="shared" si="6"/>
        <v>14903</v>
      </c>
      <c r="F27" s="45">
        <f t="shared" si="7"/>
        <v>46213</v>
      </c>
      <c r="G27" s="46">
        <v>22194.0</v>
      </c>
      <c r="H27" s="69">
        <v>28504.0</v>
      </c>
      <c r="I27" s="51">
        <f t="shared" si="3"/>
        <v>49903</v>
      </c>
      <c r="J27" s="56">
        <f t="shared" si="4"/>
        <v>27709</v>
      </c>
      <c r="K27" s="21" t="str">
        <f t="shared" si="5"/>
        <v>Còn xa</v>
      </c>
      <c r="L27" s="81"/>
      <c r="M27" s="19"/>
      <c r="N27" s="19"/>
      <c r="O27" s="19"/>
      <c r="P27" s="19"/>
      <c r="Q27" s="19"/>
      <c r="R27" s="19"/>
      <c r="S27" s="19"/>
      <c r="T27" s="19"/>
      <c r="U27" s="19"/>
      <c r="V27" s="19"/>
      <c r="W27" s="19"/>
      <c r="X27" s="19"/>
      <c r="Y27" s="19"/>
      <c r="Z27" s="19"/>
    </row>
    <row r="28" ht="15.75" customHeight="1">
      <c r="A28" s="19"/>
      <c r="B28" s="21">
        <v>22.0</v>
      </c>
      <c r="C28" s="21" t="s">
        <v>104</v>
      </c>
      <c r="D28" s="24">
        <v>35000.0</v>
      </c>
      <c r="E28" s="39">
        <f t="shared" si="6"/>
        <v>17814</v>
      </c>
      <c r="F28" s="45">
        <f t="shared" si="7"/>
        <v>46188</v>
      </c>
      <c r="G28" s="46">
        <v>29649.0</v>
      </c>
      <c r="H28" s="48"/>
      <c r="I28" s="51">
        <f t="shared" si="3"/>
        <v>52814</v>
      </c>
      <c r="J28" s="56">
        <f t="shared" si="4"/>
        <v>23165</v>
      </c>
      <c r="K28" s="21" t="str">
        <f t="shared" si="5"/>
        <v>Còn xa</v>
      </c>
      <c r="L28" s="81"/>
      <c r="M28" s="19"/>
      <c r="N28" s="19"/>
      <c r="O28" s="19"/>
      <c r="P28" s="19"/>
      <c r="Q28" s="19"/>
      <c r="R28" s="19"/>
      <c r="S28" s="19"/>
      <c r="T28" s="19"/>
      <c r="U28" s="19"/>
      <c r="V28" s="19"/>
      <c r="W28" s="19"/>
      <c r="X28" s="19"/>
      <c r="Y28" s="19"/>
      <c r="Z28" s="19"/>
    </row>
    <row r="29" ht="15.75" customHeight="1">
      <c r="A29" s="19"/>
      <c r="B29" s="21">
        <v>23.0</v>
      </c>
      <c r="C29" s="21" t="s">
        <v>111</v>
      </c>
      <c r="D29" s="24">
        <v>35000.0</v>
      </c>
      <c r="E29" s="39" t="str">
        <f t="shared" si="6"/>
        <v/>
      </c>
      <c r="G29" s="46">
        <v>16284.0</v>
      </c>
      <c r="H29" s="115"/>
      <c r="I29" s="51" t="str">
        <f t="shared" si="3"/>
        <v/>
      </c>
      <c r="J29" s="56" t="str">
        <f t="shared" si="4"/>
        <v/>
      </c>
      <c r="K29" s="21" t="str">
        <f t="shared" si="5"/>
        <v>Thiếu số liệu</v>
      </c>
      <c r="L29" s="116"/>
      <c r="M29" s="19"/>
      <c r="N29" s="19"/>
      <c r="O29" s="19"/>
      <c r="P29" s="19"/>
      <c r="Q29" s="19"/>
      <c r="R29" s="19"/>
      <c r="S29" s="19"/>
      <c r="T29" s="19"/>
      <c r="U29" s="19"/>
      <c r="V29" s="19"/>
      <c r="W29" s="19"/>
      <c r="X29" s="19"/>
      <c r="Y29" s="19"/>
      <c r="Z29" s="19"/>
    </row>
    <row r="30" ht="15.75" customHeight="1">
      <c r="A30" s="19"/>
      <c r="B30" s="21">
        <v>24.0</v>
      </c>
      <c r="C30" s="21" t="s">
        <v>114</v>
      </c>
      <c r="D30" s="24">
        <v>35000.0</v>
      </c>
      <c r="E30" s="39" t="str">
        <f t="shared" si="6"/>
        <v/>
      </c>
      <c r="F30" s="45" t="str">
        <f>IF(COUNT(OFFSET($B$35,($B29-1)*8,0,5,1))=0,"",MAX(OFFSET($B$35,($B29-1)*8,0,5,1)))</f>
        <v/>
      </c>
      <c r="G30" s="46">
        <v>10544.0</v>
      </c>
      <c r="H30" s="117"/>
      <c r="I30" s="51" t="str">
        <f t="shared" si="3"/>
        <v/>
      </c>
      <c r="J30" s="56" t="str">
        <f t="shared" si="4"/>
        <v/>
      </c>
      <c r="K30" s="21" t="str">
        <f t="shared" si="5"/>
        <v>Thiếu số liệu</v>
      </c>
      <c r="L30" s="118"/>
      <c r="M30" s="19"/>
      <c r="N30" s="19"/>
      <c r="O30" s="19"/>
      <c r="P30" s="19"/>
      <c r="Q30" s="19"/>
      <c r="R30" s="19"/>
      <c r="S30" s="19"/>
      <c r="T30" s="19"/>
      <c r="U30" s="19"/>
      <c r="V30" s="19"/>
      <c r="W30" s="19"/>
      <c r="X30" s="19"/>
      <c r="Y30" s="19"/>
      <c r="Z30" s="19"/>
    </row>
    <row r="31" ht="1.5" customHeight="1">
      <c r="A31" s="5"/>
      <c r="B31" s="119"/>
      <c r="C31" s="119"/>
      <c r="D31" s="119"/>
      <c r="E31" s="119"/>
      <c r="F31" s="119"/>
      <c r="G31" s="120"/>
      <c r="H31" s="119"/>
      <c r="I31" s="119"/>
      <c r="J31" s="119"/>
      <c r="K31" s="119"/>
      <c r="L31" s="121"/>
      <c r="M31" s="5"/>
      <c r="N31" s="5"/>
      <c r="O31" s="5"/>
      <c r="P31" s="5"/>
      <c r="Q31" s="5"/>
      <c r="R31" s="5"/>
      <c r="S31" s="5"/>
      <c r="T31" s="5"/>
      <c r="U31" s="5"/>
      <c r="V31" s="5"/>
      <c r="W31" s="5"/>
      <c r="X31" s="5"/>
      <c r="Y31" s="5"/>
      <c r="Z31" s="5"/>
    </row>
    <row r="32" ht="21.0" customHeight="1">
      <c r="A32" s="19"/>
      <c r="B32" s="122">
        <v>25.0</v>
      </c>
      <c r="C32" s="122" t="s">
        <v>117</v>
      </c>
      <c r="D32" s="39">
        <v>15000.0</v>
      </c>
      <c r="E32" s="39" t="str">
        <f t="array" ref="E32">IF(COUNT(B217:B222)=0,"",INDEX(C217:C222,MATCH(MAX(B217:B222),B217:B222,0)))</f>
        <v/>
      </c>
      <c r="F32" s="45" t="str">
        <f>IF(COUNT(B217:B222)=0,"",MAX(B217:B222))</f>
        <v/>
      </c>
      <c r="G32" s="123">
        <v>5750.0</v>
      </c>
      <c r="H32" s="117"/>
      <c r="I32" s="51" t="str">
        <f>IF(E32="","",E32+D32)</f>
        <v/>
      </c>
      <c r="J32" s="56" t="str">
        <f>IF(OR($I32="",$G32=""),"",$I32-$G32)</f>
        <v/>
      </c>
      <c r="K32" s="21" t="str">
        <f>IF(OR($I32="",$G32=""),"Thiếu số liệu",IF($J32&lt;=1000,"Sắp / quá hạn",IF($J32&lt;=3000,"Gần tới hạn","Còn xa")))</f>
        <v>Thiếu số liệu</v>
      </c>
      <c r="L32" s="124"/>
      <c r="M32" s="19"/>
      <c r="N32" s="19"/>
      <c r="O32" s="19"/>
      <c r="P32" s="19"/>
      <c r="Q32" s="19"/>
      <c r="R32" s="19"/>
      <c r="S32" s="19"/>
      <c r="T32" s="19"/>
      <c r="U32" s="19"/>
      <c r="V32" s="19"/>
      <c r="W32" s="19"/>
      <c r="X32" s="19"/>
      <c r="Y32" s="19"/>
      <c r="Z32" s="19"/>
    </row>
    <row r="33" ht="27.0" customHeight="1">
      <c r="A33" s="5"/>
      <c r="B33" s="125" t="s">
        <v>126</v>
      </c>
      <c r="I33" s="5"/>
      <c r="J33" s="5"/>
      <c r="K33" s="5"/>
      <c r="L33" s="5"/>
      <c r="M33" s="5"/>
      <c r="N33" s="5"/>
      <c r="O33" s="5"/>
      <c r="P33" s="5"/>
      <c r="Q33" s="5"/>
      <c r="R33" s="5"/>
      <c r="S33" s="5"/>
      <c r="T33" s="5"/>
      <c r="U33" s="5"/>
      <c r="V33" s="5"/>
      <c r="W33" s="5"/>
      <c r="X33" s="5"/>
      <c r="Y33" s="5"/>
      <c r="Z33" s="5"/>
    </row>
    <row r="34" ht="15.75" customHeight="1">
      <c r="A34" s="5"/>
      <c r="B34" s="126" t="s">
        <v>127</v>
      </c>
      <c r="C34" s="126" t="s">
        <v>128</v>
      </c>
      <c r="D34" s="126" t="s">
        <v>129</v>
      </c>
      <c r="E34" s="126" t="s">
        <v>130</v>
      </c>
      <c r="F34" s="126" t="s">
        <v>131</v>
      </c>
      <c r="G34" s="126" t="s">
        <v>50</v>
      </c>
      <c r="H34" s="126" t="s">
        <v>19</v>
      </c>
      <c r="I34" s="5"/>
      <c r="J34" s="5"/>
      <c r="K34" s="5"/>
      <c r="L34" s="5"/>
      <c r="M34" s="5"/>
      <c r="N34" s="5"/>
      <c r="O34" s="5"/>
      <c r="P34" s="5"/>
      <c r="Q34" s="5"/>
      <c r="R34" s="5"/>
      <c r="S34" s="5"/>
      <c r="T34" s="5"/>
      <c r="U34" s="5"/>
      <c r="V34" s="5"/>
      <c r="W34" s="5"/>
      <c r="X34" s="5"/>
      <c r="Y34" s="5"/>
      <c r="Z34" s="5"/>
    </row>
    <row r="35" ht="15.75" customHeight="1">
      <c r="A35" s="5"/>
      <c r="B35" s="127"/>
      <c r="C35" s="128"/>
      <c r="D35" s="119"/>
      <c r="E35" s="119"/>
      <c r="F35" s="129"/>
      <c r="G35" s="128"/>
      <c r="H35" s="119"/>
      <c r="I35" s="5"/>
      <c r="J35" s="5"/>
      <c r="K35" s="5"/>
      <c r="L35" s="5"/>
      <c r="M35" s="5"/>
      <c r="N35" s="5"/>
      <c r="O35" s="5"/>
      <c r="P35" s="5"/>
      <c r="Q35" s="5"/>
      <c r="R35" s="5"/>
      <c r="S35" s="5"/>
      <c r="T35" s="5"/>
      <c r="U35" s="5"/>
      <c r="V35" s="5"/>
      <c r="W35" s="5"/>
      <c r="X35" s="5"/>
      <c r="Y35" s="5"/>
      <c r="Z35" s="5"/>
    </row>
    <row r="36" ht="15.75" customHeight="1">
      <c r="A36" s="5"/>
      <c r="B36" s="127"/>
      <c r="C36" s="128"/>
      <c r="D36" s="129"/>
      <c r="E36" s="119"/>
      <c r="F36" s="129"/>
      <c r="G36" s="119"/>
      <c r="H36" s="119"/>
      <c r="I36" s="5"/>
      <c r="J36" s="5"/>
      <c r="K36" s="5"/>
      <c r="L36" s="5"/>
      <c r="M36" s="5"/>
      <c r="N36" s="5"/>
      <c r="O36" s="5"/>
      <c r="P36" s="5"/>
      <c r="Q36" s="5"/>
      <c r="R36" s="5"/>
      <c r="S36" s="5"/>
      <c r="T36" s="5"/>
      <c r="U36" s="5"/>
      <c r="V36" s="5"/>
      <c r="W36" s="5"/>
      <c r="X36" s="5"/>
      <c r="Y36" s="5"/>
      <c r="Z36" s="5"/>
    </row>
    <row r="37" ht="15.75" customHeight="1">
      <c r="A37" s="5"/>
      <c r="B37" s="119"/>
      <c r="C37" s="131"/>
      <c r="D37" s="129"/>
      <c r="E37" s="119"/>
      <c r="F37" s="129"/>
      <c r="G37" s="119"/>
      <c r="H37" s="119"/>
      <c r="I37" s="5"/>
      <c r="J37" s="5"/>
      <c r="K37" s="5"/>
      <c r="L37" s="5"/>
      <c r="M37" s="5"/>
      <c r="N37" s="5"/>
      <c r="O37" s="5"/>
      <c r="P37" s="5"/>
      <c r="Q37" s="5"/>
      <c r="R37" s="5"/>
      <c r="S37" s="5"/>
      <c r="T37" s="5"/>
      <c r="U37" s="5"/>
      <c r="V37" s="5"/>
      <c r="W37" s="5"/>
      <c r="X37" s="5"/>
      <c r="Y37" s="5"/>
      <c r="Z37" s="5"/>
    </row>
    <row r="38" ht="15.75" customHeight="1">
      <c r="A38" s="5"/>
      <c r="B38" s="119"/>
      <c r="C38" s="131"/>
      <c r="D38" s="129"/>
      <c r="E38" s="119"/>
      <c r="F38" s="129"/>
      <c r="G38" s="119"/>
      <c r="H38" s="119"/>
      <c r="I38" s="5"/>
      <c r="J38" s="5"/>
      <c r="K38" s="5"/>
      <c r="L38" s="5"/>
      <c r="M38" s="5"/>
      <c r="N38" s="5"/>
      <c r="O38" s="5"/>
      <c r="P38" s="5"/>
      <c r="Q38" s="5"/>
      <c r="R38" s="5"/>
      <c r="S38" s="5"/>
      <c r="T38" s="5"/>
      <c r="U38" s="5"/>
      <c r="V38" s="5"/>
      <c r="W38" s="5"/>
      <c r="X38" s="5"/>
      <c r="Y38" s="5"/>
      <c r="Z38" s="5"/>
    </row>
    <row r="39" ht="15.75" customHeight="1">
      <c r="A39" s="5"/>
      <c r="B39" s="119"/>
      <c r="C39" s="131"/>
      <c r="D39" s="129"/>
      <c r="E39" s="119"/>
      <c r="F39" s="129"/>
      <c r="G39" s="119"/>
      <c r="H39" s="119"/>
      <c r="I39" s="5"/>
      <c r="J39" s="5"/>
      <c r="K39" s="5"/>
      <c r="L39" s="5"/>
      <c r="M39" s="5"/>
      <c r="N39" s="5"/>
      <c r="O39" s="5"/>
      <c r="P39" s="5"/>
      <c r="Q39" s="5"/>
      <c r="R39" s="5"/>
      <c r="S39" s="5"/>
      <c r="T39" s="5"/>
      <c r="U39" s="5"/>
      <c r="V39" s="5"/>
      <c r="W39" s="5"/>
      <c r="X39" s="5"/>
      <c r="Y39" s="5"/>
      <c r="Z39" s="5"/>
    </row>
    <row r="40" ht="15.75" customHeight="1">
      <c r="A40" s="5"/>
      <c r="B40" s="5"/>
      <c r="C40" s="133"/>
      <c r="D40" s="134"/>
      <c r="E40" s="5"/>
      <c r="F40" s="134"/>
      <c r="G40" s="5"/>
      <c r="H40" s="5"/>
      <c r="I40" s="5"/>
      <c r="J40" s="5"/>
      <c r="K40" s="5"/>
      <c r="L40" s="5"/>
      <c r="M40" s="5"/>
      <c r="N40" s="5"/>
      <c r="O40" s="5"/>
      <c r="P40" s="5"/>
      <c r="Q40" s="5"/>
      <c r="R40" s="5"/>
      <c r="S40" s="5"/>
      <c r="T40" s="5"/>
      <c r="U40" s="5"/>
      <c r="V40" s="5"/>
      <c r="W40" s="5"/>
      <c r="X40" s="5"/>
      <c r="Y40" s="5"/>
      <c r="Z40" s="5"/>
    </row>
    <row r="41" ht="18.75" customHeight="1">
      <c r="A41" s="5"/>
      <c r="B41" s="125" t="s">
        <v>132</v>
      </c>
      <c r="I41" s="5"/>
      <c r="J41" s="5"/>
      <c r="K41" s="5"/>
      <c r="L41" s="5"/>
      <c r="M41" s="5"/>
      <c r="N41" s="5"/>
      <c r="O41" s="5"/>
      <c r="P41" s="5"/>
      <c r="Q41" s="5"/>
      <c r="R41" s="5"/>
      <c r="S41" s="5"/>
      <c r="T41" s="5"/>
      <c r="U41" s="5"/>
      <c r="V41" s="5"/>
      <c r="W41" s="5"/>
      <c r="X41" s="5"/>
      <c r="Y41" s="5"/>
      <c r="Z41" s="5"/>
    </row>
    <row r="42" ht="15.75" customHeight="1">
      <c r="A42" s="5"/>
      <c r="B42" s="126" t="s">
        <v>127</v>
      </c>
      <c r="C42" s="126" t="s">
        <v>128</v>
      </c>
      <c r="D42" s="126" t="s">
        <v>129</v>
      </c>
      <c r="E42" s="126" t="s">
        <v>130</v>
      </c>
      <c r="F42" s="126" t="s">
        <v>131</v>
      </c>
      <c r="G42" s="126" t="s">
        <v>50</v>
      </c>
      <c r="H42" s="126" t="s">
        <v>19</v>
      </c>
      <c r="I42" s="5"/>
      <c r="J42" s="5"/>
      <c r="K42" s="5"/>
      <c r="L42" s="5"/>
      <c r="M42" s="5"/>
      <c r="N42" s="5"/>
      <c r="O42" s="5"/>
      <c r="P42" s="5"/>
      <c r="Q42" s="5"/>
      <c r="R42" s="5"/>
      <c r="S42" s="5"/>
      <c r="T42" s="5"/>
      <c r="U42" s="5"/>
      <c r="V42" s="5"/>
      <c r="W42" s="5"/>
      <c r="X42" s="5"/>
      <c r="Y42" s="5"/>
      <c r="Z42" s="5"/>
    </row>
    <row r="43" ht="15.75" customHeight="1">
      <c r="A43" s="5"/>
      <c r="B43" s="119"/>
      <c r="C43" s="131"/>
      <c r="D43" s="129"/>
      <c r="E43" s="119"/>
      <c r="F43" s="129"/>
      <c r="G43" s="119"/>
      <c r="H43" s="119"/>
      <c r="I43" s="5"/>
      <c r="J43" s="5"/>
      <c r="K43" s="5"/>
      <c r="L43" s="5"/>
      <c r="M43" s="5"/>
      <c r="N43" s="5"/>
      <c r="O43" s="5"/>
      <c r="P43" s="5"/>
      <c r="Q43" s="5"/>
      <c r="R43" s="5"/>
      <c r="S43" s="5"/>
      <c r="T43" s="5"/>
      <c r="U43" s="5"/>
      <c r="V43" s="5"/>
      <c r="W43" s="5"/>
      <c r="X43" s="5"/>
      <c r="Y43" s="5"/>
      <c r="Z43" s="5"/>
    </row>
    <row r="44" ht="15.75" customHeight="1">
      <c r="A44" s="5"/>
      <c r="B44" s="119"/>
      <c r="C44" s="131"/>
      <c r="D44" s="129"/>
      <c r="E44" s="119"/>
      <c r="F44" s="129"/>
      <c r="G44" s="119"/>
      <c r="H44" s="119"/>
      <c r="I44" s="5"/>
      <c r="J44" s="5"/>
      <c r="K44" s="5"/>
      <c r="L44" s="5"/>
      <c r="M44" s="5"/>
      <c r="N44" s="5"/>
      <c r="O44" s="5"/>
      <c r="P44" s="5"/>
      <c r="Q44" s="5"/>
      <c r="R44" s="5"/>
      <c r="S44" s="5"/>
      <c r="T44" s="5"/>
      <c r="U44" s="5"/>
      <c r="V44" s="5"/>
      <c r="W44" s="5"/>
      <c r="X44" s="5"/>
      <c r="Y44" s="5"/>
      <c r="Z44" s="5"/>
    </row>
    <row r="45" ht="15.75" customHeight="1">
      <c r="A45" s="5"/>
      <c r="B45" s="119"/>
      <c r="C45" s="131"/>
      <c r="D45" s="129"/>
      <c r="E45" s="119"/>
      <c r="F45" s="129"/>
      <c r="G45" s="119"/>
      <c r="H45" s="119"/>
      <c r="I45" s="5"/>
      <c r="J45" s="5"/>
      <c r="K45" s="5"/>
      <c r="L45" s="5"/>
      <c r="M45" s="5"/>
      <c r="N45" s="5"/>
      <c r="O45" s="5"/>
      <c r="P45" s="5"/>
      <c r="Q45" s="5"/>
      <c r="R45" s="5"/>
      <c r="S45" s="5"/>
      <c r="T45" s="5"/>
      <c r="U45" s="5"/>
      <c r="V45" s="5"/>
      <c r="W45" s="5"/>
      <c r="X45" s="5"/>
      <c r="Y45" s="5"/>
      <c r="Z45" s="5"/>
    </row>
    <row r="46" ht="15.75" customHeight="1">
      <c r="A46" s="5"/>
      <c r="B46" s="119"/>
      <c r="C46" s="131"/>
      <c r="D46" s="129"/>
      <c r="E46" s="119"/>
      <c r="F46" s="129"/>
      <c r="G46" s="119"/>
      <c r="H46" s="119"/>
      <c r="I46" s="5"/>
      <c r="J46" s="5"/>
      <c r="K46" s="5"/>
      <c r="L46" s="5"/>
      <c r="M46" s="5"/>
      <c r="N46" s="5"/>
      <c r="O46" s="5"/>
      <c r="P46" s="5"/>
      <c r="Q46" s="5"/>
      <c r="R46" s="5"/>
      <c r="S46" s="5"/>
      <c r="T46" s="5"/>
      <c r="U46" s="5"/>
      <c r="V46" s="5"/>
      <c r="W46" s="5"/>
      <c r="X46" s="5"/>
      <c r="Y46" s="5"/>
      <c r="Z46" s="5"/>
    </row>
    <row r="47" ht="15.75" customHeight="1">
      <c r="A47" s="5"/>
      <c r="B47" s="119"/>
      <c r="C47" s="131"/>
      <c r="D47" s="129"/>
      <c r="E47" s="119"/>
      <c r="F47" s="129"/>
      <c r="G47" s="119"/>
      <c r="H47" s="119"/>
      <c r="I47" s="5"/>
      <c r="J47" s="5"/>
      <c r="K47" s="5"/>
      <c r="L47" s="5"/>
      <c r="M47" s="5"/>
      <c r="N47" s="5"/>
      <c r="O47" s="5"/>
      <c r="P47" s="5"/>
      <c r="Q47" s="5"/>
      <c r="R47" s="5"/>
      <c r="S47" s="5"/>
      <c r="T47" s="5"/>
      <c r="U47" s="5"/>
      <c r="V47" s="5"/>
      <c r="W47" s="5"/>
      <c r="X47" s="5"/>
      <c r="Y47" s="5"/>
      <c r="Z47" s="5"/>
    </row>
    <row r="48" ht="15.75" customHeight="1">
      <c r="A48" s="5"/>
      <c r="B48" s="5"/>
      <c r="C48" s="133"/>
      <c r="D48" s="134"/>
      <c r="E48" s="5"/>
      <c r="F48" s="134"/>
      <c r="G48" s="5"/>
      <c r="H48" s="5"/>
      <c r="I48" s="5"/>
      <c r="J48" s="5"/>
      <c r="K48" s="5"/>
      <c r="L48" s="5"/>
      <c r="M48" s="5"/>
      <c r="N48" s="5"/>
      <c r="O48" s="5"/>
      <c r="P48" s="5"/>
      <c r="Q48" s="5"/>
      <c r="R48" s="5"/>
      <c r="S48" s="5"/>
      <c r="T48" s="5"/>
      <c r="U48" s="5"/>
      <c r="V48" s="5"/>
      <c r="W48" s="5"/>
      <c r="X48" s="5"/>
      <c r="Y48" s="5"/>
      <c r="Z48" s="5"/>
    </row>
    <row r="49" ht="21.75" customHeight="1">
      <c r="A49" s="5"/>
      <c r="B49" s="125" t="s">
        <v>139</v>
      </c>
      <c r="I49" s="5"/>
      <c r="J49" s="5"/>
      <c r="K49" s="5"/>
      <c r="L49" s="5"/>
      <c r="M49" s="5"/>
      <c r="N49" s="5"/>
      <c r="O49" s="5"/>
      <c r="P49" s="5"/>
      <c r="Q49" s="5"/>
      <c r="R49" s="5"/>
      <c r="S49" s="5"/>
      <c r="T49" s="5"/>
      <c r="U49" s="5"/>
      <c r="V49" s="5"/>
      <c r="W49" s="5"/>
      <c r="X49" s="5"/>
      <c r="Y49" s="5"/>
      <c r="Z49" s="5"/>
    </row>
    <row r="50" ht="15.75" customHeight="1">
      <c r="A50" s="5"/>
      <c r="B50" s="126" t="s">
        <v>127</v>
      </c>
      <c r="C50" s="126" t="s">
        <v>128</v>
      </c>
      <c r="D50" s="126" t="s">
        <v>129</v>
      </c>
      <c r="E50" s="126" t="s">
        <v>130</v>
      </c>
      <c r="F50" s="126" t="s">
        <v>131</v>
      </c>
      <c r="G50" s="126" t="s">
        <v>50</v>
      </c>
      <c r="H50" s="126" t="s">
        <v>19</v>
      </c>
      <c r="I50" s="5"/>
      <c r="J50" s="5"/>
      <c r="K50" s="5"/>
      <c r="L50" s="5"/>
      <c r="M50" s="5"/>
      <c r="N50" s="5"/>
      <c r="O50" s="5"/>
      <c r="P50" s="5"/>
      <c r="Q50" s="5"/>
      <c r="R50" s="5"/>
      <c r="S50" s="5"/>
      <c r="T50" s="5"/>
      <c r="U50" s="5"/>
      <c r="V50" s="5"/>
      <c r="W50" s="5"/>
      <c r="X50" s="5"/>
      <c r="Y50" s="5"/>
      <c r="Z50" s="5"/>
    </row>
    <row r="51" ht="15.75" customHeight="1">
      <c r="A51" s="5"/>
      <c r="B51" s="127"/>
      <c r="C51" s="131"/>
      <c r="D51" s="129"/>
      <c r="E51" s="119"/>
      <c r="F51" s="129"/>
      <c r="G51" s="119"/>
      <c r="H51" s="119"/>
      <c r="I51" s="5"/>
      <c r="J51" s="5"/>
      <c r="K51" s="5"/>
      <c r="L51" s="5"/>
      <c r="M51" s="5"/>
      <c r="N51" s="5"/>
      <c r="O51" s="5"/>
      <c r="P51" s="5"/>
      <c r="Q51" s="5"/>
      <c r="R51" s="5"/>
      <c r="S51" s="5"/>
      <c r="T51" s="5"/>
      <c r="U51" s="5"/>
      <c r="V51" s="5"/>
      <c r="W51" s="5"/>
      <c r="X51" s="5"/>
      <c r="Y51" s="5"/>
      <c r="Z51" s="5"/>
    </row>
    <row r="52" ht="15.75" customHeight="1">
      <c r="A52" s="5"/>
      <c r="B52" s="119"/>
      <c r="C52" s="131"/>
      <c r="D52" s="129"/>
      <c r="E52" s="119"/>
      <c r="F52" s="129"/>
      <c r="G52" s="119"/>
      <c r="H52" s="119"/>
      <c r="I52" s="5"/>
      <c r="J52" s="5"/>
      <c r="K52" s="5"/>
      <c r="L52" s="5"/>
      <c r="M52" s="5"/>
      <c r="N52" s="5"/>
      <c r="O52" s="5"/>
      <c r="P52" s="5"/>
      <c r="Q52" s="5"/>
      <c r="R52" s="5"/>
      <c r="S52" s="5"/>
      <c r="T52" s="5"/>
      <c r="U52" s="5"/>
      <c r="V52" s="5"/>
      <c r="W52" s="5"/>
      <c r="X52" s="5"/>
      <c r="Y52" s="5"/>
      <c r="Z52" s="5"/>
    </row>
    <row r="53" ht="15.75" customHeight="1">
      <c r="A53" s="5"/>
      <c r="B53" s="119"/>
      <c r="C53" s="131"/>
      <c r="D53" s="129"/>
      <c r="E53" s="119"/>
      <c r="F53" s="129"/>
      <c r="G53" s="119"/>
      <c r="H53" s="119"/>
      <c r="I53" s="5"/>
      <c r="J53" s="5"/>
      <c r="K53" s="5"/>
      <c r="L53" s="5"/>
      <c r="M53" s="5"/>
      <c r="N53" s="5"/>
      <c r="O53" s="5"/>
      <c r="P53" s="5"/>
      <c r="Q53" s="5"/>
      <c r="R53" s="5"/>
      <c r="S53" s="5"/>
      <c r="T53" s="5"/>
      <c r="U53" s="5"/>
      <c r="V53" s="5"/>
      <c r="W53" s="5"/>
      <c r="X53" s="5"/>
      <c r="Y53" s="5"/>
      <c r="Z53" s="5"/>
    </row>
    <row r="54" ht="15.75" customHeight="1">
      <c r="A54" s="5"/>
      <c r="B54" s="119"/>
      <c r="C54" s="131"/>
      <c r="D54" s="129"/>
      <c r="E54" s="119"/>
      <c r="F54" s="129"/>
      <c r="G54" s="119"/>
      <c r="H54" s="119"/>
      <c r="I54" s="5"/>
      <c r="J54" s="5"/>
      <c r="K54" s="5"/>
      <c r="L54" s="5"/>
      <c r="M54" s="5"/>
      <c r="N54" s="5"/>
      <c r="O54" s="5"/>
      <c r="P54" s="5"/>
      <c r="Q54" s="5"/>
      <c r="R54" s="5"/>
      <c r="S54" s="5"/>
      <c r="T54" s="5"/>
      <c r="U54" s="5"/>
      <c r="V54" s="5"/>
      <c r="W54" s="5"/>
      <c r="X54" s="5"/>
      <c r="Y54" s="5"/>
      <c r="Z54" s="5"/>
    </row>
    <row r="55" ht="15.75" customHeight="1">
      <c r="A55" s="5"/>
      <c r="B55" s="119"/>
      <c r="C55" s="131"/>
      <c r="D55" s="129"/>
      <c r="E55" s="119"/>
      <c r="F55" s="129"/>
      <c r="G55" s="119"/>
      <c r="H55" s="119"/>
      <c r="I55" s="5"/>
      <c r="J55" s="5"/>
      <c r="K55" s="5"/>
      <c r="L55" s="5"/>
      <c r="M55" s="5"/>
      <c r="N55" s="5"/>
      <c r="O55" s="5"/>
      <c r="P55" s="5"/>
      <c r="Q55" s="5"/>
      <c r="R55" s="5"/>
      <c r="S55" s="5"/>
      <c r="T55" s="5"/>
      <c r="U55" s="5"/>
      <c r="V55" s="5"/>
      <c r="W55" s="5"/>
      <c r="X55" s="5"/>
      <c r="Y55" s="5"/>
      <c r="Z55" s="5"/>
    </row>
    <row r="56" ht="15.75" customHeight="1">
      <c r="A56" s="5"/>
      <c r="B56" s="5"/>
      <c r="C56" s="133"/>
      <c r="D56" s="134"/>
      <c r="E56" s="5"/>
      <c r="F56" s="134"/>
      <c r="G56" s="5"/>
      <c r="H56" s="5"/>
      <c r="I56" s="5"/>
      <c r="J56" s="5"/>
      <c r="K56" s="5"/>
      <c r="L56" s="5"/>
      <c r="M56" s="5"/>
      <c r="N56" s="5"/>
      <c r="O56" s="5"/>
      <c r="P56" s="5"/>
      <c r="Q56" s="5"/>
      <c r="R56" s="5"/>
      <c r="S56" s="5"/>
      <c r="T56" s="5"/>
      <c r="U56" s="5"/>
      <c r="V56" s="5"/>
      <c r="W56" s="5"/>
      <c r="X56" s="5"/>
      <c r="Y56" s="5"/>
      <c r="Z56" s="5"/>
    </row>
    <row r="57" ht="25.5" customHeight="1">
      <c r="A57" s="5"/>
      <c r="B57" s="125" t="s">
        <v>141</v>
      </c>
      <c r="I57" s="5"/>
      <c r="J57" s="5"/>
      <c r="K57" s="5"/>
      <c r="L57" s="5"/>
      <c r="M57" s="5"/>
      <c r="N57" s="5"/>
      <c r="O57" s="5"/>
      <c r="P57" s="5"/>
      <c r="Q57" s="5"/>
      <c r="R57" s="5"/>
      <c r="S57" s="5"/>
      <c r="T57" s="5"/>
      <c r="U57" s="5"/>
      <c r="V57" s="5"/>
      <c r="W57" s="5"/>
      <c r="X57" s="5"/>
      <c r="Y57" s="5"/>
      <c r="Z57" s="5"/>
    </row>
    <row r="58" ht="15.75" customHeight="1">
      <c r="A58" s="5"/>
      <c r="B58" s="126" t="s">
        <v>127</v>
      </c>
      <c r="C58" s="126" t="s">
        <v>128</v>
      </c>
      <c r="D58" s="126" t="s">
        <v>129</v>
      </c>
      <c r="E58" s="126" t="s">
        <v>130</v>
      </c>
      <c r="F58" s="126" t="s">
        <v>131</v>
      </c>
      <c r="G58" s="126" t="s">
        <v>50</v>
      </c>
      <c r="H58" s="126" t="s">
        <v>19</v>
      </c>
      <c r="I58" s="5"/>
      <c r="J58" s="5"/>
      <c r="K58" s="5"/>
      <c r="L58" s="5"/>
      <c r="M58" s="5"/>
      <c r="N58" s="5"/>
      <c r="O58" s="5"/>
      <c r="P58" s="5"/>
      <c r="Q58" s="5"/>
      <c r="R58" s="5"/>
      <c r="S58" s="5"/>
      <c r="T58" s="5"/>
      <c r="U58" s="5"/>
      <c r="V58" s="5"/>
      <c r="W58" s="5"/>
      <c r="X58" s="5"/>
      <c r="Y58" s="5"/>
      <c r="Z58" s="5"/>
    </row>
    <row r="59" ht="15.75" customHeight="1">
      <c r="A59" s="5"/>
      <c r="B59" s="119"/>
      <c r="C59" s="131"/>
      <c r="D59" s="129"/>
      <c r="E59" s="119"/>
      <c r="F59" s="129"/>
      <c r="G59" s="119"/>
      <c r="H59" s="119"/>
      <c r="I59" s="5"/>
      <c r="J59" s="5"/>
      <c r="K59" s="5"/>
      <c r="L59" s="5"/>
      <c r="M59" s="5"/>
      <c r="N59" s="5"/>
      <c r="O59" s="5"/>
      <c r="P59" s="5"/>
      <c r="Q59" s="5"/>
      <c r="R59" s="5"/>
      <c r="S59" s="5"/>
      <c r="T59" s="5"/>
      <c r="U59" s="5"/>
      <c r="V59" s="5"/>
      <c r="W59" s="5"/>
      <c r="X59" s="5"/>
      <c r="Y59" s="5"/>
      <c r="Z59" s="5"/>
    </row>
    <row r="60" ht="15.75" customHeight="1">
      <c r="A60" s="5"/>
      <c r="B60" s="119"/>
      <c r="C60" s="131"/>
      <c r="D60" s="129"/>
      <c r="E60" s="119"/>
      <c r="F60" s="129"/>
      <c r="G60" s="119"/>
      <c r="H60" s="119"/>
      <c r="I60" s="5"/>
      <c r="J60" s="5"/>
      <c r="K60" s="5"/>
      <c r="L60" s="5"/>
      <c r="M60" s="5"/>
      <c r="N60" s="5"/>
      <c r="O60" s="5"/>
      <c r="P60" s="5"/>
      <c r="Q60" s="5"/>
      <c r="R60" s="5"/>
      <c r="S60" s="5"/>
      <c r="T60" s="5"/>
      <c r="U60" s="5"/>
      <c r="V60" s="5"/>
      <c r="W60" s="5"/>
      <c r="X60" s="5"/>
      <c r="Y60" s="5"/>
      <c r="Z60" s="5"/>
    </row>
    <row r="61" ht="15.75" customHeight="1">
      <c r="A61" s="5"/>
      <c r="B61" s="119"/>
      <c r="C61" s="131"/>
      <c r="D61" s="129"/>
      <c r="E61" s="119"/>
      <c r="F61" s="129"/>
      <c r="G61" s="119"/>
      <c r="H61" s="119"/>
      <c r="I61" s="5"/>
      <c r="J61" s="5"/>
      <c r="K61" s="5"/>
      <c r="L61" s="5"/>
      <c r="M61" s="5"/>
      <c r="N61" s="5"/>
      <c r="O61" s="5"/>
      <c r="P61" s="5"/>
      <c r="Q61" s="5"/>
      <c r="R61" s="5"/>
      <c r="S61" s="5"/>
      <c r="T61" s="5"/>
      <c r="U61" s="5"/>
      <c r="V61" s="5"/>
      <c r="W61" s="5"/>
      <c r="X61" s="5"/>
      <c r="Y61" s="5"/>
      <c r="Z61" s="5"/>
    </row>
    <row r="62" ht="15.75" customHeight="1">
      <c r="A62" s="5"/>
      <c r="B62" s="119"/>
      <c r="C62" s="131"/>
      <c r="D62" s="129"/>
      <c r="E62" s="119"/>
      <c r="F62" s="129"/>
      <c r="G62" s="119"/>
      <c r="H62" s="119"/>
      <c r="I62" s="5"/>
      <c r="J62" s="5"/>
      <c r="K62" s="5"/>
      <c r="L62" s="5"/>
      <c r="M62" s="5"/>
      <c r="N62" s="5"/>
      <c r="O62" s="5"/>
      <c r="P62" s="5"/>
      <c r="Q62" s="5"/>
      <c r="R62" s="5"/>
      <c r="S62" s="5"/>
      <c r="T62" s="5"/>
      <c r="U62" s="5"/>
      <c r="V62" s="5"/>
      <c r="W62" s="5"/>
      <c r="X62" s="5"/>
      <c r="Y62" s="5"/>
      <c r="Z62" s="5"/>
    </row>
    <row r="63" ht="15.75" customHeight="1">
      <c r="A63" s="5"/>
      <c r="B63" s="119"/>
      <c r="C63" s="131"/>
      <c r="D63" s="129"/>
      <c r="E63" s="119"/>
      <c r="F63" s="129"/>
      <c r="G63" s="119"/>
      <c r="H63" s="119"/>
      <c r="I63" s="5"/>
      <c r="J63" s="5"/>
      <c r="K63" s="5"/>
      <c r="L63" s="5"/>
      <c r="M63" s="5"/>
      <c r="N63" s="5"/>
      <c r="O63" s="5"/>
      <c r="P63" s="5"/>
      <c r="Q63" s="5"/>
      <c r="R63" s="5"/>
      <c r="S63" s="5"/>
      <c r="T63" s="5"/>
      <c r="U63" s="5"/>
      <c r="V63" s="5"/>
      <c r="W63" s="5"/>
      <c r="X63" s="5"/>
      <c r="Y63" s="5"/>
      <c r="Z63" s="5"/>
    </row>
    <row r="64" ht="15.75" customHeight="1">
      <c r="A64" s="5"/>
      <c r="B64" s="5"/>
      <c r="C64" s="133"/>
      <c r="D64" s="134"/>
      <c r="E64" s="5"/>
      <c r="F64" s="134"/>
      <c r="G64" s="5"/>
      <c r="H64" s="5"/>
      <c r="I64" s="5"/>
      <c r="J64" s="5"/>
      <c r="K64" s="5"/>
      <c r="L64" s="5"/>
      <c r="M64" s="5"/>
      <c r="N64" s="5"/>
      <c r="O64" s="5"/>
      <c r="P64" s="5"/>
      <c r="Q64" s="5"/>
      <c r="R64" s="5"/>
      <c r="S64" s="5"/>
      <c r="T64" s="5"/>
      <c r="U64" s="5"/>
      <c r="V64" s="5"/>
      <c r="W64" s="5"/>
      <c r="X64" s="5"/>
      <c r="Y64" s="5"/>
      <c r="Z64" s="5"/>
    </row>
    <row r="65" ht="21.0" customHeight="1">
      <c r="A65" s="5"/>
      <c r="B65" s="125" t="s">
        <v>143</v>
      </c>
      <c r="I65" s="5"/>
      <c r="J65" s="5"/>
      <c r="K65" s="5"/>
      <c r="L65" s="5"/>
      <c r="M65" s="5"/>
      <c r="N65" s="5"/>
      <c r="O65" s="5"/>
      <c r="P65" s="5"/>
      <c r="Q65" s="5"/>
      <c r="R65" s="5"/>
      <c r="S65" s="5"/>
      <c r="T65" s="5"/>
      <c r="U65" s="5"/>
      <c r="V65" s="5"/>
      <c r="W65" s="5"/>
      <c r="X65" s="5"/>
      <c r="Y65" s="5"/>
      <c r="Z65" s="5"/>
    </row>
    <row r="66" ht="15.75" customHeight="1">
      <c r="A66" s="5"/>
      <c r="B66" s="126" t="s">
        <v>127</v>
      </c>
      <c r="C66" s="126" t="s">
        <v>128</v>
      </c>
      <c r="D66" s="126" t="s">
        <v>129</v>
      </c>
      <c r="E66" s="126" t="s">
        <v>130</v>
      </c>
      <c r="F66" s="126" t="s">
        <v>131</v>
      </c>
      <c r="G66" s="126" t="s">
        <v>50</v>
      </c>
      <c r="H66" s="126" t="s">
        <v>19</v>
      </c>
      <c r="I66" s="5"/>
      <c r="J66" s="5"/>
      <c r="K66" s="5"/>
      <c r="L66" s="5"/>
      <c r="M66" s="5"/>
      <c r="N66" s="5"/>
      <c r="O66" s="5"/>
      <c r="P66" s="5"/>
      <c r="Q66" s="5"/>
      <c r="R66" s="5"/>
      <c r="S66" s="5"/>
      <c r="T66" s="5"/>
      <c r="U66" s="5"/>
      <c r="V66" s="5"/>
      <c r="W66" s="5"/>
      <c r="X66" s="5"/>
      <c r="Y66" s="5"/>
      <c r="Z66" s="5"/>
    </row>
    <row r="67" ht="15.75" customHeight="1">
      <c r="A67" s="5"/>
      <c r="B67" s="127">
        <v>46183.0</v>
      </c>
      <c r="C67" s="128">
        <v>92800.0</v>
      </c>
      <c r="D67" s="129"/>
      <c r="E67" s="119"/>
      <c r="F67" s="128" t="s">
        <v>144</v>
      </c>
      <c r="G67" s="128" t="s">
        <v>53</v>
      </c>
      <c r="H67" s="119"/>
      <c r="I67" s="5"/>
      <c r="J67" s="5"/>
      <c r="K67" s="5"/>
      <c r="L67" s="5"/>
      <c r="M67" s="5"/>
      <c r="N67" s="5"/>
      <c r="O67" s="5"/>
      <c r="P67" s="5"/>
      <c r="Q67" s="5"/>
      <c r="R67" s="5"/>
      <c r="S67" s="5"/>
      <c r="T67" s="5"/>
      <c r="U67" s="5"/>
      <c r="V67" s="5"/>
      <c r="W67" s="5"/>
      <c r="X67" s="5"/>
      <c r="Y67" s="5"/>
      <c r="Z67" s="5"/>
    </row>
    <row r="68" ht="15.75" customHeight="1">
      <c r="A68" s="5"/>
      <c r="B68" s="119"/>
      <c r="C68" s="131"/>
      <c r="D68" s="129"/>
      <c r="E68" s="119"/>
      <c r="F68" s="129"/>
      <c r="G68" s="119"/>
      <c r="H68" s="119"/>
      <c r="I68" s="5"/>
      <c r="J68" s="5"/>
      <c r="K68" s="5"/>
      <c r="L68" s="5"/>
      <c r="M68" s="5"/>
      <c r="N68" s="5"/>
      <c r="O68" s="5"/>
      <c r="P68" s="5"/>
      <c r="Q68" s="5"/>
      <c r="R68" s="5"/>
      <c r="S68" s="5"/>
      <c r="T68" s="5"/>
      <c r="U68" s="5"/>
      <c r="V68" s="5"/>
      <c r="W68" s="5"/>
      <c r="X68" s="5"/>
      <c r="Y68" s="5"/>
      <c r="Z68" s="5"/>
    </row>
    <row r="69" ht="15.75" customHeight="1">
      <c r="A69" s="5"/>
      <c r="B69" s="119"/>
      <c r="C69" s="131"/>
      <c r="D69" s="129"/>
      <c r="E69" s="119"/>
      <c r="F69" s="129"/>
      <c r="G69" s="119"/>
      <c r="H69" s="119"/>
      <c r="I69" s="5"/>
      <c r="J69" s="5"/>
      <c r="K69" s="5"/>
      <c r="L69" s="5"/>
      <c r="M69" s="5"/>
      <c r="N69" s="5"/>
      <c r="O69" s="5"/>
      <c r="P69" s="5"/>
      <c r="Q69" s="5"/>
      <c r="R69" s="5"/>
      <c r="S69" s="5"/>
      <c r="T69" s="5"/>
      <c r="U69" s="5"/>
      <c r="V69" s="5"/>
      <c r="W69" s="5"/>
      <c r="X69" s="5"/>
      <c r="Y69" s="5"/>
      <c r="Z69" s="5"/>
    </row>
    <row r="70" ht="15.75" customHeight="1">
      <c r="A70" s="5"/>
      <c r="B70" s="119"/>
      <c r="C70" s="136"/>
      <c r="D70" s="119"/>
      <c r="E70" s="119"/>
      <c r="F70" s="129"/>
      <c r="G70" s="119"/>
      <c r="H70" s="119"/>
      <c r="I70" s="5"/>
      <c r="J70" s="5"/>
      <c r="K70" s="5"/>
      <c r="L70" s="5"/>
      <c r="M70" s="5"/>
      <c r="N70" s="5"/>
      <c r="O70" s="5"/>
      <c r="P70" s="5"/>
      <c r="Q70" s="5"/>
      <c r="R70" s="5"/>
      <c r="S70" s="5"/>
      <c r="T70" s="5"/>
      <c r="U70" s="5"/>
      <c r="V70" s="5"/>
      <c r="W70" s="5"/>
      <c r="X70" s="5"/>
      <c r="Y70" s="5"/>
      <c r="Z70" s="5"/>
    </row>
    <row r="71" ht="15.75" customHeight="1">
      <c r="A71" s="5"/>
      <c r="B71" s="119"/>
      <c r="C71" s="136"/>
      <c r="D71" s="119"/>
      <c r="E71" s="119"/>
      <c r="F71" s="129"/>
      <c r="G71" s="119"/>
      <c r="H71" s="119"/>
      <c r="I71" s="5"/>
      <c r="J71" s="5"/>
      <c r="K71" s="5"/>
      <c r="L71" s="5"/>
      <c r="M71" s="5"/>
      <c r="N71" s="5"/>
      <c r="O71" s="5"/>
      <c r="P71" s="5"/>
      <c r="Q71" s="5"/>
      <c r="R71" s="5"/>
      <c r="S71" s="5"/>
      <c r="T71" s="5"/>
      <c r="U71" s="5"/>
      <c r="V71" s="5"/>
      <c r="W71" s="5"/>
      <c r="X71" s="5"/>
      <c r="Y71" s="5"/>
      <c r="Z71" s="5"/>
    </row>
    <row r="72" ht="15.75" customHeight="1">
      <c r="A72" s="5"/>
      <c r="B72" s="5"/>
      <c r="C72" s="133"/>
      <c r="D72" s="134"/>
      <c r="E72" s="5"/>
      <c r="F72" s="134"/>
      <c r="G72" s="5"/>
      <c r="H72" s="5"/>
      <c r="I72" s="5"/>
      <c r="J72" s="5"/>
      <c r="K72" s="5"/>
      <c r="L72" s="5"/>
      <c r="M72" s="5"/>
      <c r="N72" s="5"/>
      <c r="O72" s="5"/>
      <c r="P72" s="5"/>
      <c r="Q72" s="5"/>
      <c r="R72" s="5"/>
      <c r="S72" s="5"/>
      <c r="T72" s="5"/>
      <c r="U72" s="5"/>
      <c r="V72" s="5"/>
      <c r="W72" s="5"/>
      <c r="X72" s="5"/>
      <c r="Y72" s="5"/>
      <c r="Z72" s="5"/>
    </row>
    <row r="73" ht="22.5" customHeight="1">
      <c r="A73" s="5"/>
      <c r="B73" s="125" t="s">
        <v>146</v>
      </c>
      <c r="I73" s="5"/>
      <c r="J73" s="5"/>
      <c r="K73" s="5"/>
      <c r="L73" s="5"/>
      <c r="M73" s="5"/>
      <c r="N73" s="5"/>
      <c r="O73" s="5"/>
      <c r="P73" s="5"/>
      <c r="Q73" s="5"/>
      <c r="R73" s="5"/>
      <c r="S73" s="5"/>
      <c r="T73" s="5"/>
      <c r="U73" s="5"/>
      <c r="V73" s="5"/>
      <c r="W73" s="5"/>
      <c r="X73" s="5"/>
      <c r="Y73" s="5"/>
      <c r="Z73" s="5"/>
    </row>
    <row r="74" ht="15.75" customHeight="1">
      <c r="A74" s="5"/>
      <c r="B74" s="126" t="s">
        <v>127</v>
      </c>
      <c r="C74" s="137">
        <v>46258.0</v>
      </c>
      <c r="D74" s="126" t="s">
        <v>70</v>
      </c>
      <c r="E74" s="126">
        <v>71266.0</v>
      </c>
      <c r="F74" s="126" t="s">
        <v>147</v>
      </c>
      <c r="G74" s="126" t="s">
        <v>50</v>
      </c>
      <c r="H74" s="126" t="s">
        <v>19</v>
      </c>
      <c r="I74" s="5"/>
      <c r="J74" s="5"/>
      <c r="K74" s="5"/>
      <c r="L74" s="5"/>
      <c r="M74" s="5"/>
      <c r="N74" s="5"/>
      <c r="O74" s="5"/>
      <c r="P74" s="5"/>
      <c r="Q74" s="5"/>
      <c r="R74" s="5"/>
      <c r="S74" s="5"/>
      <c r="T74" s="5"/>
      <c r="U74" s="5"/>
      <c r="V74" s="5"/>
      <c r="W74" s="5"/>
      <c r="X74" s="5"/>
      <c r="Y74" s="5"/>
      <c r="Z74" s="5"/>
    </row>
    <row r="75" ht="15.75" customHeight="1">
      <c r="A75" s="5"/>
      <c r="B75" s="127">
        <v>46219.0</v>
      </c>
      <c r="C75" s="136">
        <v>46183.0</v>
      </c>
      <c r="D75" s="128" t="s">
        <v>63</v>
      </c>
      <c r="E75" s="138">
        <v>108940.0</v>
      </c>
      <c r="F75" s="128" t="s">
        <v>148</v>
      </c>
      <c r="G75" s="128" t="s">
        <v>53</v>
      </c>
      <c r="H75" s="119"/>
      <c r="I75" s="5"/>
      <c r="J75" s="5"/>
      <c r="K75" s="5"/>
      <c r="L75" s="5"/>
      <c r="M75" s="5"/>
      <c r="N75" s="5"/>
      <c r="O75" s="5"/>
      <c r="P75" s="5"/>
      <c r="Q75" s="5"/>
      <c r="R75" s="5"/>
      <c r="S75" s="5"/>
      <c r="T75" s="5"/>
      <c r="U75" s="5"/>
      <c r="V75" s="5"/>
      <c r="W75" s="5"/>
      <c r="X75" s="5"/>
      <c r="Y75" s="5"/>
      <c r="Z75" s="5"/>
    </row>
    <row r="76" ht="15.75" customHeight="1">
      <c r="A76" s="5"/>
      <c r="B76" s="119"/>
      <c r="C76" s="136">
        <v>46261.0</v>
      </c>
      <c r="D76" s="128" t="s">
        <v>63</v>
      </c>
      <c r="E76" s="138">
        <v>108940.0</v>
      </c>
      <c r="F76" s="128" t="s">
        <v>148</v>
      </c>
      <c r="G76" s="119"/>
      <c r="H76" s="119"/>
      <c r="I76" s="5"/>
      <c r="J76" s="5"/>
      <c r="K76" s="5"/>
      <c r="L76" s="5"/>
      <c r="M76" s="5"/>
      <c r="N76" s="5"/>
      <c r="O76" s="5"/>
      <c r="P76" s="5"/>
      <c r="Q76" s="5"/>
      <c r="R76" s="5"/>
      <c r="S76" s="5"/>
      <c r="T76" s="5"/>
      <c r="U76" s="5"/>
      <c r="V76" s="5"/>
      <c r="W76" s="5"/>
      <c r="X76" s="5"/>
      <c r="Y76" s="5"/>
      <c r="Z76" s="5"/>
    </row>
    <row r="77" ht="15.75" customHeight="1">
      <c r="A77" s="5"/>
      <c r="B77" s="119"/>
      <c r="C77" s="131"/>
      <c r="D77" s="129"/>
      <c r="E77" s="119"/>
      <c r="F77" s="129"/>
      <c r="G77" s="119"/>
      <c r="H77" s="119"/>
      <c r="I77" s="5"/>
      <c r="J77" s="5"/>
      <c r="K77" s="5"/>
      <c r="L77" s="5"/>
      <c r="M77" s="5"/>
      <c r="N77" s="5"/>
      <c r="O77" s="5"/>
      <c r="P77" s="5"/>
      <c r="Q77" s="5"/>
      <c r="R77" s="5"/>
      <c r="S77" s="5"/>
      <c r="T77" s="5"/>
      <c r="U77" s="5"/>
      <c r="V77" s="5"/>
      <c r="W77" s="5"/>
      <c r="X77" s="5"/>
      <c r="Y77" s="5"/>
      <c r="Z77" s="5"/>
    </row>
    <row r="78" ht="15.75" customHeight="1">
      <c r="A78" s="5"/>
      <c r="B78" s="119"/>
      <c r="C78" s="131"/>
      <c r="D78" s="129"/>
      <c r="E78" s="119"/>
      <c r="F78" s="129"/>
      <c r="G78" s="119"/>
      <c r="H78" s="119"/>
      <c r="I78" s="5"/>
      <c r="J78" s="5"/>
      <c r="K78" s="5"/>
      <c r="L78" s="5"/>
      <c r="M78" s="5"/>
      <c r="N78" s="5"/>
      <c r="O78" s="5"/>
      <c r="P78" s="5"/>
      <c r="Q78" s="5"/>
      <c r="R78" s="5"/>
      <c r="S78" s="5"/>
      <c r="T78" s="5"/>
      <c r="U78" s="5"/>
      <c r="V78" s="5"/>
      <c r="W78" s="5"/>
      <c r="X78" s="5"/>
      <c r="Y78" s="5"/>
      <c r="Z78" s="5"/>
    </row>
    <row r="79" ht="15.75" customHeight="1">
      <c r="A79" s="5"/>
      <c r="B79" s="119"/>
      <c r="C79" s="131"/>
      <c r="D79" s="129"/>
      <c r="E79" s="119"/>
      <c r="F79" s="129"/>
      <c r="G79" s="119"/>
      <c r="H79" s="119"/>
      <c r="I79" s="5"/>
      <c r="J79" s="5"/>
      <c r="K79" s="5"/>
      <c r="L79" s="5"/>
      <c r="M79" s="5"/>
      <c r="N79" s="5"/>
      <c r="O79" s="5"/>
      <c r="P79" s="5"/>
      <c r="Q79" s="5"/>
      <c r="R79" s="5"/>
      <c r="S79" s="5"/>
      <c r="T79" s="5"/>
      <c r="U79" s="5"/>
      <c r="V79" s="5"/>
      <c r="W79" s="5"/>
      <c r="X79" s="5"/>
      <c r="Y79" s="5"/>
      <c r="Z79" s="5"/>
    </row>
    <row r="80" ht="15.75" customHeight="1">
      <c r="A80" s="5"/>
      <c r="B80" s="5"/>
      <c r="C80" s="133"/>
      <c r="D80" s="134"/>
      <c r="E80" s="5"/>
      <c r="F80" s="134"/>
      <c r="G80" s="5"/>
      <c r="H80" s="5"/>
      <c r="I80" s="5"/>
      <c r="J80" s="5"/>
      <c r="K80" s="5"/>
      <c r="L80" s="5"/>
      <c r="M80" s="5"/>
      <c r="N80" s="5"/>
      <c r="O80" s="5"/>
      <c r="P80" s="5"/>
      <c r="Q80" s="5"/>
      <c r="R80" s="5"/>
      <c r="S80" s="5"/>
      <c r="T80" s="5"/>
      <c r="U80" s="5"/>
      <c r="V80" s="5"/>
      <c r="W80" s="5"/>
      <c r="X80" s="5"/>
      <c r="Y80" s="5"/>
      <c r="Z80" s="5"/>
    </row>
    <row r="81" ht="16.5" customHeight="1">
      <c r="A81" s="5"/>
      <c r="B81" s="125" t="s">
        <v>154</v>
      </c>
      <c r="I81" s="5"/>
      <c r="J81" s="5"/>
      <c r="K81" s="5"/>
      <c r="L81" s="5"/>
      <c r="M81" s="5"/>
      <c r="N81" s="5"/>
      <c r="O81" s="5"/>
      <c r="P81" s="5"/>
      <c r="Q81" s="5"/>
      <c r="R81" s="5"/>
      <c r="S81" s="5"/>
      <c r="T81" s="5"/>
      <c r="U81" s="5"/>
      <c r="V81" s="5"/>
      <c r="W81" s="5"/>
      <c r="X81" s="5"/>
      <c r="Y81" s="5"/>
      <c r="Z81" s="5"/>
    </row>
    <row r="82" ht="15.75" customHeight="1">
      <c r="A82" s="5"/>
      <c r="B82" s="126" t="s">
        <v>127</v>
      </c>
      <c r="C82" s="126" t="s">
        <v>128</v>
      </c>
      <c r="D82" s="126" t="s">
        <v>129</v>
      </c>
      <c r="E82" s="126" t="s">
        <v>130</v>
      </c>
      <c r="F82" s="126" t="s">
        <v>131</v>
      </c>
      <c r="G82" s="126" t="s">
        <v>50</v>
      </c>
      <c r="H82" s="126" t="s">
        <v>19</v>
      </c>
      <c r="I82" s="5"/>
      <c r="J82" s="5"/>
      <c r="K82" s="5"/>
      <c r="L82" s="5"/>
      <c r="M82" s="5"/>
      <c r="N82" s="5"/>
      <c r="O82" s="5"/>
      <c r="P82" s="5"/>
      <c r="Q82" s="5"/>
      <c r="R82" s="5"/>
      <c r="S82" s="5"/>
      <c r="T82" s="5"/>
      <c r="U82" s="5"/>
      <c r="V82" s="5"/>
      <c r="W82" s="5"/>
      <c r="X82" s="5"/>
      <c r="Y82" s="5"/>
      <c r="Z82" s="5"/>
    </row>
    <row r="83" ht="15.75" customHeight="1">
      <c r="A83" s="5"/>
      <c r="B83" s="127">
        <v>46252.0</v>
      </c>
      <c r="C83" s="128">
        <v>90824.0</v>
      </c>
      <c r="D83" s="128">
        <v>1695.0</v>
      </c>
      <c r="E83" s="140">
        <v>7199280.0</v>
      </c>
      <c r="F83" s="128" t="s">
        <v>155</v>
      </c>
      <c r="G83" s="128" t="s">
        <v>53</v>
      </c>
      <c r="H83" s="119"/>
      <c r="I83" s="5"/>
      <c r="J83" s="5"/>
      <c r="K83" s="5"/>
      <c r="L83" s="5"/>
      <c r="M83" s="5"/>
      <c r="N83" s="5"/>
      <c r="O83" s="5"/>
      <c r="P83" s="5"/>
      <c r="Q83" s="5"/>
      <c r="R83" s="5"/>
      <c r="S83" s="5"/>
      <c r="T83" s="5"/>
      <c r="U83" s="5"/>
      <c r="V83" s="5"/>
      <c r="W83" s="5"/>
      <c r="X83" s="5"/>
      <c r="Y83" s="5"/>
      <c r="Z83" s="5"/>
    </row>
    <row r="84" ht="15.75" customHeight="1">
      <c r="A84" s="5"/>
      <c r="B84" s="119"/>
      <c r="C84" s="131"/>
      <c r="D84" s="129"/>
      <c r="E84" s="119"/>
      <c r="F84" s="129"/>
      <c r="G84" s="119"/>
      <c r="H84" s="119"/>
      <c r="I84" s="5"/>
      <c r="J84" s="5"/>
      <c r="K84" s="5"/>
      <c r="L84" s="5"/>
      <c r="M84" s="5"/>
      <c r="N84" s="5"/>
      <c r="O84" s="5"/>
      <c r="P84" s="5"/>
      <c r="Q84" s="5"/>
      <c r="R84" s="5"/>
      <c r="S84" s="5"/>
      <c r="T84" s="5"/>
      <c r="U84" s="5"/>
      <c r="V84" s="5"/>
      <c r="W84" s="5"/>
      <c r="X84" s="5"/>
      <c r="Y84" s="5"/>
      <c r="Z84" s="5"/>
    </row>
    <row r="85" ht="15.75" customHeight="1">
      <c r="A85" s="5"/>
      <c r="B85" s="119"/>
      <c r="C85" s="131"/>
      <c r="D85" s="129"/>
      <c r="E85" s="119"/>
      <c r="F85" s="129"/>
      <c r="G85" s="119"/>
      <c r="H85" s="119"/>
      <c r="I85" s="5"/>
      <c r="J85" s="5"/>
      <c r="K85" s="5"/>
      <c r="L85" s="5"/>
      <c r="M85" s="5"/>
      <c r="N85" s="5"/>
      <c r="O85" s="5"/>
      <c r="P85" s="5"/>
      <c r="Q85" s="5"/>
      <c r="R85" s="5"/>
      <c r="S85" s="5"/>
      <c r="T85" s="5"/>
      <c r="U85" s="5"/>
      <c r="V85" s="5"/>
      <c r="W85" s="5"/>
      <c r="X85" s="5"/>
      <c r="Y85" s="5"/>
      <c r="Z85" s="5"/>
    </row>
    <row r="86" ht="15.75" customHeight="1">
      <c r="A86" s="5"/>
      <c r="B86" s="119"/>
      <c r="C86" s="131"/>
      <c r="D86" s="129"/>
      <c r="E86" s="119"/>
      <c r="F86" s="129"/>
      <c r="G86" s="119"/>
      <c r="H86" s="119"/>
      <c r="I86" s="5"/>
      <c r="J86" s="5"/>
      <c r="K86" s="5"/>
      <c r="L86" s="5"/>
      <c r="M86" s="5"/>
      <c r="N86" s="5"/>
      <c r="O86" s="5"/>
      <c r="P86" s="5"/>
      <c r="Q86" s="5"/>
      <c r="R86" s="5"/>
      <c r="S86" s="5"/>
      <c r="T86" s="5"/>
      <c r="U86" s="5"/>
      <c r="V86" s="5"/>
      <c r="W86" s="5"/>
      <c r="X86" s="5"/>
      <c r="Y86" s="5"/>
      <c r="Z86" s="5"/>
    </row>
    <row r="87" ht="15.75" customHeight="1">
      <c r="A87" s="5"/>
      <c r="B87" s="119"/>
      <c r="C87" s="131"/>
      <c r="D87" s="129"/>
      <c r="E87" s="119"/>
      <c r="F87" s="129"/>
      <c r="G87" s="119"/>
      <c r="H87" s="119"/>
      <c r="I87" s="5"/>
      <c r="J87" s="5"/>
      <c r="K87" s="5"/>
      <c r="L87" s="5"/>
      <c r="M87" s="5"/>
      <c r="N87" s="5"/>
      <c r="O87" s="5"/>
      <c r="P87" s="5"/>
      <c r="Q87" s="5"/>
      <c r="R87" s="5"/>
      <c r="S87" s="5"/>
      <c r="T87" s="5"/>
      <c r="U87" s="5"/>
      <c r="V87" s="5"/>
      <c r="W87" s="5"/>
      <c r="X87" s="5"/>
      <c r="Y87" s="5"/>
      <c r="Z87" s="5"/>
    </row>
    <row r="88" ht="15.75" customHeight="1">
      <c r="A88" s="5"/>
      <c r="B88" s="5"/>
      <c r="C88" s="133"/>
      <c r="D88" s="134"/>
      <c r="E88" s="5"/>
      <c r="F88" s="134"/>
      <c r="G88" s="5"/>
      <c r="H88" s="5"/>
      <c r="I88" s="5"/>
      <c r="J88" s="5"/>
      <c r="K88" s="5"/>
      <c r="L88" s="5"/>
      <c r="M88" s="5"/>
      <c r="N88" s="5"/>
      <c r="O88" s="5"/>
      <c r="P88" s="5"/>
      <c r="Q88" s="5"/>
      <c r="R88" s="5"/>
      <c r="S88" s="5"/>
      <c r="T88" s="5"/>
      <c r="U88" s="5"/>
      <c r="V88" s="5"/>
      <c r="W88" s="5"/>
      <c r="X88" s="5"/>
      <c r="Y88" s="5"/>
      <c r="Z88" s="5"/>
    </row>
    <row r="89" ht="21.0" customHeight="1">
      <c r="A89" s="5"/>
      <c r="B89" s="125" t="s">
        <v>159</v>
      </c>
      <c r="I89" s="5"/>
      <c r="J89" s="5"/>
      <c r="K89" s="5"/>
      <c r="L89" s="5"/>
      <c r="M89" s="5"/>
      <c r="N89" s="5"/>
      <c r="O89" s="5"/>
      <c r="P89" s="5"/>
      <c r="Q89" s="5"/>
      <c r="R89" s="5"/>
      <c r="S89" s="5"/>
      <c r="T89" s="5"/>
      <c r="U89" s="5"/>
      <c r="V89" s="5"/>
      <c r="W89" s="5"/>
      <c r="X89" s="5"/>
      <c r="Y89" s="5"/>
      <c r="Z89" s="5"/>
    </row>
    <row r="90" ht="15.75" customHeight="1">
      <c r="A90" s="5"/>
      <c r="B90" s="126" t="s">
        <v>127</v>
      </c>
      <c r="C90" s="126" t="s">
        <v>128</v>
      </c>
      <c r="D90" s="126" t="s">
        <v>129</v>
      </c>
      <c r="E90" s="126" t="s">
        <v>130</v>
      </c>
      <c r="F90" s="126" t="s">
        <v>131</v>
      </c>
      <c r="G90" s="126" t="s">
        <v>50</v>
      </c>
      <c r="H90" s="126" t="s">
        <v>19</v>
      </c>
      <c r="I90" s="5"/>
      <c r="J90" s="5"/>
      <c r="K90" s="5"/>
      <c r="L90" s="5"/>
      <c r="M90" s="5"/>
      <c r="N90" s="5"/>
      <c r="O90" s="5"/>
      <c r="P90" s="5"/>
      <c r="Q90" s="5"/>
      <c r="R90" s="5"/>
      <c r="S90" s="5"/>
      <c r="T90" s="5"/>
      <c r="U90" s="5"/>
      <c r="V90" s="5"/>
      <c r="W90" s="5"/>
      <c r="X90" s="5"/>
      <c r="Y90" s="5"/>
      <c r="Z90" s="5"/>
    </row>
    <row r="91" ht="15.75" customHeight="1">
      <c r="A91" s="5"/>
      <c r="B91" s="127">
        <v>46258.0</v>
      </c>
      <c r="C91" s="140">
        <v>86274.0</v>
      </c>
      <c r="D91" s="129"/>
      <c r="E91" s="119"/>
      <c r="F91" s="128" t="s">
        <v>144</v>
      </c>
      <c r="G91" s="128" t="s">
        <v>152</v>
      </c>
      <c r="H91" s="119"/>
      <c r="I91" s="5"/>
      <c r="J91" s="5"/>
      <c r="K91" s="5"/>
      <c r="L91" s="5"/>
      <c r="M91" s="5"/>
      <c r="N91" s="5"/>
      <c r="O91" s="5"/>
      <c r="P91" s="5"/>
      <c r="Q91" s="5"/>
      <c r="R91" s="5"/>
      <c r="S91" s="5"/>
      <c r="T91" s="5"/>
      <c r="U91" s="5"/>
      <c r="V91" s="5"/>
      <c r="W91" s="5"/>
      <c r="X91" s="5"/>
      <c r="Y91" s="5"/>
      <c r="Z91" s="5"/>
    </row>
    <row r="92" ht="15.75" customHeight="1">
      <c r="A92" s="5"/>
      <c r="B92" s="119"/>
      <c r="C92" s="131"/>
      <c r="D92" s="129"/>
      <c r="E92" s="119"/>
      <c r="F92" s="129"/>
      <c r="G92" s="119"/>
      <c r="H92" s="119"/>
      <c r="I92" s="5"/>
      <c r="J92" s="5"/>
      <c r="K92" s="5"/>
      <c r="L92" s="5"/>
      <c r="M92" s="5"/>
      <c r="N92" s="5"/>
      <c r="O92" s="5"/>
      <c r="P92" s="5"/>
      <c r="Q92" s="5"/>
      <c r="R92" s="5"/>
      <c r="S92" s="5"/>
      <c r="T92" s="5"/>
      <c r="U92" s="5"/>
      <c r="V92" s="5"/>
      <c r="W92" s="5"/>
      <c r="X92" s="5"/>
      <c r="Y92" s="5"/>
      <c r="Z92" s="5"/>
    </row>
    <row r="93" ht="15.75" customHeight="1">
      <c r="A93" s="5"/>
      <c r="B93" s="119"/>
      <c r="C93" s="131"/>
      <c r="D93" s="129"/>
      <c r="E93" s="119"/>
      <c r="F93" s="129"/>
      <c r="G93" s="119"/>
      <c r="H93" s="119"/>
      <c r="I93" s="5"/>
      <c r="J93" s="5"/>
      <c r="K93" s="5"/>
      <c r="L93" s="5"/>
      <c r="M93" s="5"/>
      <c r="N93" s="5"/>
      <c r="O93" s="5"/>
      <c r="P93" s="5"/>
      <c r="Q93" s="5"/>
      <c r="R93" s="5"/>
      <c r="S93" s="5"/>
      <c r="T93" s="5"/>
      <c r="U93" s="5"/>
      <c r="V93" s="5"/>
      <c r="W93" s="5"/>
      <c r="X93" s="5"/>
      <c r="Y93" s="5"/>
      <c r="Z93" s="5"/>
    </row>
    <row r="94" ht="15.75" customHeight="1">
      <c r="A94" s="5"/>
      <c r="B94" s="119"/>
      <c r="C94" s="131"/>
      <c r="D94" s="129"/>
      <c r="E94" s="119"/>
      <c r="F94" s="129"/>
      <c r="G94" s="119"/>
      <c r="H94" s="119"/>
      <c r="I94" s="5"/>
      <c r="J94" s="5"/>
      <c r="K94" s="5"/>
      <c r="L94" s="5"/>
      <c r="M94" s="5"/>
      <c r="N94" s="5"/>
      <c r="O94" s="5"/>
      <c r="P94" s="5"/>
      <c r="Q94" s="5"/>
      <c r="R94" s="5"/>
      <c r="S94" s="5"/>
      <c r="T94" s="5"/>
      <c r="U94" s="5"/>
      <c r="V94" s="5"/>
      <c r="W94" s="5"/>
      <c r="X94" s="5"/>
      <c r="Y94" s="5"/>
      <c r="Z94" s="5"/>
    </row>
    <row r="95" ht="15.75" customHeight="1">
      <c r="A95" s="5"/>
      <c r="B95" s="119"/>
      <c r="C95" s="131"/>
      <c r="D95" s="129"/>
      <c r="E95" s="119"/>
      <c r="F95" s="129"/>
      <c r="G95" s="119"/>
      <c r="H95" s="119"/>
      <c r="I95" s="5"/>
      <c r="J95" s="5"/>
      <c r="K95" s="5"/>
      <c r="L95" s="5"/>
      <c r="M95" s="5"/>
      <c r="N95" s="5"/>
      <c r="O95" s="5"/>
      <c r="P95" s="5"/>
      <c r="Q95" s="5"/>
      <c r="R95" s="5"/>
      <c r="S95" s="5"/>
      <c r="T95" s="5"/>
      <c r="U95" s="5"/>
      <c r="V95" s="5"/>
      <c r="W95" s="5"/>
      <c r="X95" s="5"/>
      <c r="Y95" s="5"/>
      <c r="Z95" s="5"/>
    </row>
    <row r="96" ht="15.75" customHeight="1">
      <c r="A96" s="5"/>
      <c r="B96" s="5"/>
      <c r="C96" s="133"/>
      <c r="D96" s="134"/>
      <c r="E96" s="5"/>
      <c r="F96" s="134"/>
      <c r="G96" s="5"/>
      <c r="H96" s="5"/>
      <c r="I96" s="5"/>
      <c r="J96" s="5"/>
      <c r="K96" s="5"/>
      <c r="L96" s="5"/>
      <c r="M96" s="5"/>
      <c r="N96" s="5"/>
      <c r="O96" s="5"/>
      <c r="P96" s="5"/>
      <c r="Q96" s="5"/>
      <c r="R96" s="5"/>
      <c r="S96" s="5"/>
      <c r="T96" s="5"/>
      <c r="U96" s="5"/>
      <c r="V96" s="5"/>
      <c r="W96" s="5"/>
      <c r="X96" s="5"/>
      <c r="Y96" s="5"/>
      <c r="Z96" s="5"/>
    </row>
    <row r="97" ht="22.5" customHeight="1">
      <c r="A97" s="5"/>
      <c r="B97" s="125" t="s">
        <v>161</v>
      </c>
      <c r="I97" s="5"/>
      <c r="J97" s="5"/>
      <c r="K97" s="5"/>
      <c r="L97" s="5"/>
      <c r="M97" s="5"/>
      <c r="N97" s="5"/>
      <c r="O97" s="5"/>
      <c r="P97" s="5"/>
      <c r="Q97" s="5"/>
      <c r="R97" s="5"/>
      <c r="S97" s="5"/>
      <c r="T97" s="5"/>
      <c r="U97" s="5"/>
      <c r="V97" s="5"/>
      <c r="W97" s="5"/>
      <c r="X97" s="5"/>
      <c r="Y97" s="5"/>
      <c r="Z97" s="5"/>
    </row>
    <row r="98" ht="15.75" customHeight="1">
      <c r="A98" s="5"/>
      <c r="B98" s="126" t="s">
        <v>127</v>
      </c>
      <c r="C98" s="126" t="s">
        <v>128</v>
      </c>
      <c r="D98" s="126" t="s">
        <v>129</v>
      </c>
      <c r="E98" s="126" t="s">
        <v>130</v>
      </c>
      <c r="F98" s="126" t="s">
        <v>131</v>
      </c>
      <c r="G98" s="126" t="s">
        <v>50</v>
      </c>
      <c r="H98" s="126" t="s">
        <v>19</v>
      </c>
      <c r="I98" s="5"/>
      <c r="J98" s="5"/>
      <c r="K98" s="5"/>
      <c r="L98" s="5"/>
      <c r="M98" s="5"/>
      <c r="N98" s="5"/>
      <c r="O98" s="5"/>
      <c r="P98" s="5"/>
      <c r="Q98" s="5"/>
      <c r="R98" s="5"/>
      <c r="S98" s="5"/>
      <c r="T98" s="5"/>
      <c r="U98" s="5"/>
      <c r="V98" s="5"/>
      <c r="W98" s="5"/>
      <c r="X98" s="5"/>
      <c r="Y98" s="5"/>
      <c r="Z98" s="5"/>
    </row>
    <row r="99" ht="15.75" customHeight="1">
      <c r="A99" s="5"/>
      <c r="B99" s="154"/>
      <c r="C99" s="128"/>
      <c r="D99" s="129"/>
      <c r="E99" s="119"/>
      <c r="F99" s="128"/>
      <c r="G99" s="128"/>
      <c r="H99" s="119"/>
      <c r="I99" s="5"/>
      <c r="J99" s="5"/>
      <c r="K99" s="5"/>
      <c r="L99" s="5"/>
      <c r="M99" s="5"/>
      <c r="N99" s="5"/>
      <c r="O99" s="5"/>
      <c r="P99" s="5"/>
      <c r="Q99" s="5"/>
      <c r="R99" s="5"/>
      <c r="S99" s="5"/>
      <c r="T99" s="5"/>
      <c r="U99" s="5"/>
      <c r="V99" s="5"/>
      <c r="W99" s="5"/>
      <c r="X99" s="5"/>
      <c r="Y99" s="5"/>
      <c r="Z99" s="5"/>
    </row>
    <row r="100" ht="15.75" customHeight="1">
      <c r="A100" s="5"/>
      <c r="B100" s="119"/>
      <c r="C100" s="131"/>
      <c r="D100" s="129"/>
      <c r="E100" s="119"/>
      <c r="F100" s="129"/>
      <c r="G100" s="119"/>
      <c r="H100" s="119"/>
      <c r="I100" s="5"/>
      <c r="J100" s="5"/>
      <c r="K100" s="5"/>
      <c r="L100" s="5"/>
      <c r="M100" s="5"/>
      <c r="N100" s="5"/>
      <c r="O100" s="5"/>
      <c r="P100" s="5"/>
      <c r="Q100" s="5"/>
      <c r="R100" s="5"/>
      <c r="S100" s="5"/>
      <c r="T100" s="5"/>
      <c r="U100" s="5"/>
      <c r="V100" s="5"/>
      <c r="W100" s="5"/>
      <c r="X100" s="5"/>
      <c r="Y100" s="5"/>
      <c r="Z100" s="5"/>
    </row>
    <row r="101" ht="15.75" customHeight="1">
      <c r="A101" s="5"/>
      <c r="B101" s="119"/>
      <c r="C101" s="131"/>
      <c r="D101" s="129"/>
      <c r="E101" s="119"/>
      <c r="F101" s="129"/>
      <c r="G101" s="119"/>
      <c r="H101" s="119"/>
      <c r="I101" s="5"/>
      <c r="J101" s="5"/>
      <c r="K101" s="5"/>
      <c r="L101" s="5"/>
      <c r="M101" s="5"/>
      <c r="N101" s="5"/>
      <c r="O101" s="5"/>
      <c r="P101" s="5"/>
      <c r="Q101" s="5"/>
      <c r="R101" s="5"/>
      <c r="S101" s="5"/>
      <c r="T101" s="5"/>
      <c r="U101" s="5"/>
      <c r="V101" s="5"/>
      <c r="W101" s="5"/>
      <c r="X101" s="5"/>
      <c r="Y101" s="5"/>
      <c r="Z101" s="5"/>
    </row>
    <row r="102" ht="15.75" customHeight="1">
      <c r="A102" s="5"/>
      <c r="B102" s="119"/>
      <c r="C102" s="131"/>
      <c r="D102" s="129"/>
      <c r="E102" s="119"/>
      <c r="F102" s="129"/>
      <c r="G102" s="119"/>
      <c r="H102" s="119"/>
      <c r="I102" s="5"/>
      <c r="J102" s="5"/>
      <c r="K102" s="5"/>
      <c r="L102" s="5"/>
      <c r="M102" s="5"/>
      <c r="N102" s="5"/>
      <c r="O102" s="5"/>
      <c r="P102" s="5"/>
      <c r="Q102" s="5"/>
      <c r="R102" s="5"/>
      <c r="S102" s="5"/>
      <c r="T102" s="5"/>
      <c r="U102" s="5"/>
      <c r="V102" s="5"/>
      <c r="W102" s="5"/>
      <c r="X102" s="5"/>
      <c r="Y102" s="5"/>
      <c r="Z102" s="5"/>
    </row>
    <row r="103" ht="15.75" customHeight="1">
      <c r="A103" s="5"/>
      <c r="B103" s="119"/>
      <c r="C103" s="131"/>
      <c r="D103" s="129"/>
      <c r="E103" s="119"/>
      <c r="F103" s="129"/>
      <c r="G103" s="119"/>
      <c r="H103" s="119"/>
      <c r="I103" s="5"/>
      <c r="J103" s="5"/>
      <c r="K103" s="5"/>
      <c r="L103" s="5"/>
      <c r="M103" s="5"/>
      <c r="N103" s="5"/>
      <c r="O103" s="5"/>
      <c r="P103" s="5"/>
      <c r="Q103" s="5"/>
      <c r="R103" s="5"/>
      <c r="S103" s="5"/>
      <c r="T103" s="5"/>
      <c r="U103" s="5"/>
      <c r="V103" s="5"/>
      <c r="W103" s="5"/>
      <c r="X103" s="5"/>
      <c r="Y103" s="5"/>
      <c r="Z103" s="5"/>
    </row>
    <row r="104" ht="15.75" customHeight="1">
      <c r="A104" s="5"/>
      <c r="B104" s="5"/>
      <c r="C104" s="133"/>
      <c r="D104" s="134"/>
      <c r="E104" s="5"/>
      <c r="F104" s="134"/>
      <c r="G104" s="5"/>
      <c r="H104" s="5"/>
      <c r="I104" s="5"/>
      <c r="J104" s="5"/>
      <c r="K104" s="5"/>
      <c r="L104" s="5"/>
      <c r="M104" s="5"/>
      <c r="N104" s="5"/>
      <c r="O104" s="5"/>
      <c r="P104" s="5"/>
      <c r="Q104" s="5"/>
      <c r="R104" s="5"/>
      <c r="S104" s="5"/>
      <c r="T104" s="5"/>
      <c r="U104" s="5"/>
      <c r="V104" s="5"/>
      <c r="W104" s="5"/>
      <c r="X104" s="5"/>
      <c r="Y104" s="5"/>
      <c r="Z104" s="5"/>
    </row>
    <row r="105" ht="19.5" customHeight="1">
      <c r="A105" s="5"/>
      <c r="B105" s="125" t="s">
        <v>166</v>
      </c>
      <c r="I105" s="5"/>
      <c r="J105" s="5"/>
      <c r="K105" s="5"/>
      <c r="L105" s="5"/>
      <c r="M105" s="5"/>
      <c r="N105" s="5"/>
      <c r="O105" s="5"/>
      <c r="P105" s="5"/>
      <c r="Q105" s="5"/>
      <c r="R105" s="5"/>
      <c r="S105" s="5"/>
      <c r="T105" s="5"/>
      <c r="U105" s="5"/>
      <c r="V105" s="5"/>
      <c r="W105" s="5"/>
      <c r="X105" s="5"/>
      <c r="Y105" s="5"/>
      <c r="Z105" s="5"/>
    </row>
    <row r="106" ht="15.75" customHeight="1">
      <c r="A106" s="5"/>
      <c r="B106" s="126" t="s">
        <v>127</v>
      </c>
      <c r="C106" s="126" t="s">
        <v>128</v>
      </c>
      <c r="D106" s="126" t="s">
        <v>129</v>
      </c>
      <c r="E106" s="126" t="s">
        <v>130</v>
      </c>
      <c r="F106" s="126" t="s">
        <v>131</v>
      </c>
      <c r="G106" s="126" t="s">
        <v>50</v>
      </c>
      <c r="H106" s="126" t="s">
        <v>19</v>
      </c>
      <c r="I106" s="5"/>
      <c r="J106" s="5"/>
      <c r="K106" s="5"/>
      <c r="L106" s="5"/>
      <c r="M106" s="5"/>
      <c r="N106" s="5"/>
      <c r="O106" s="5"/>
      <c r="P106" s="5"/>
      <c r="Q106" s="5"/>
      <c r="R106" s="5"/>
      <c r="S106" s="5"/>
      <c r="T106" s="5"/>
      <c r="U106" s="5"/>
      <c r="V106" s="5"/>
      <c r="W106" s="5"/>
      <c r="X106" s="5"/>
      <c r="Y106" s="5"/>
      <c r="Z106" s="5"/>
    </row>
    <row r="107" ht="15.75" customHeight="1">
      <c r="A107" s="5"/>
      <c r="B107" s="127">
        <v>46200.0</v>
      </c>
      <c r="C107" s="128">
        <v>75211.0</v>
      </c>
      <c r="D107" s="129"/>
      <c r="E107" s="119"/>
      <c r="F107" s="128" t="s">
        <v>167</v>
      </c>
      <c r="G107" s="128" t="s">
        <v>53</v>
      </c>
      <c r="H107" s="119"/>
      <c r="I107" s="5"/>
      <c r="J107" s="5"/>
      <c r="K107" s="5"/>
      <c r="L107" s="5"/>
      <c r="M107" s="5"/>
      <c r="N107" s="5"/>
      <c r="O107" s="5"/>
      <c r="P107" s="5"/>
      <c r="Q107" s="5"/>
      <c r="R107" s="5"/>
      <c r="S107" s="5"/>
      <c r="T107" s="5"/>
      <c r="U107" s="5"/>
      <c r="V107" s="5"/>
      <c r="W107" s="5"/>
      <c r="X107" s="5"/>
      <c r="Y107" s="5"/>
      <c r="Z107" s="5"/>
    </row>
    <row r="108" ht="15.75" customHeight="1">
      <c r="A108" s="5"/>
      <c r="B108" s="119"/>
      <c r="C108" s="131"/>
      <c r="D108" s="129"/>
      <c r="E108" s="119"/>
      <c r="F108" s="129"/>
      <c r="G108" s="119"/>
      <c r="H108" s="119"/>
      <c r="I108" s="5"/>
      <c r="J108" s="5"/>
      <c r="K108" s="5"/>
      <c r="L108" s="5"/>
      <c r="M108" s="5"/>
      <c r="N108" s="5"/>
      <c r="O108" s="5"/>
      <c r="P108" s="5"/>
      <c r="Q108" s="5"/>
      <c r="R108" s="5"/>
      <c r="S108" s="5"/>
      <c r="T108" s="5"/>
      <c r="U108" s="5"/>
      <c r="V108" s="5"/>
      <c r="W108" s="5"/>
      <c r="X108" s="5"/>
      <c r="Y108" s="5"/>
      <c r="Z108" s="5"/>
    </row>
    <row r="109" ht="15.75" customHeight="1">
      <c r="A109" s="5"/>
      <c r="B109" s="119"/>
      <c r="C109" s="131"/>
      <c r="D109" s="129"/>
      <c r="E109" s="119"/>
      <c r="F109" s="129"/>
      <c r="G109" s="119"/>
      <c r="H109" s="119"/>
      <c r="I109" s="5"/>
      <c r="J109" s="5"/>
      <c r="K109" s="5"/>
      <c r="L109" s="5"/>
      <c r="M109" s="5"/>
      <c r="N109" s="5"/>
      <c r="O109" s="5"/>
      <c r="P109" s="5"/>
      <c r="Q109" s="5"/>
      <c r="R109" s="5"/>
      <c r="S109" s="5"/>
      <c r="T109" s="5"/>
      <c r="U109" s="5"/>
      <c r="V109" s="5"/>
      <c r="W109" s="5"/>
      <c r="X109" s="5"/>
      <c r="Y109" s="5"/>
      <c r="Z109" s="5"/>
    </row>
    <row r="110" ht="15.75" customHeight="1">
      <c r="A110" s="5"/>
      <c r="B110" s="119"/>
      <c r="C110" s="131"/>
      <c r="D110" s="129"/>
      <c r="E110" s="119"/>
      <c r="F110" s="129"/>
      <c r="G110" s="119"/>
      <c r="H110" s="119"/>
      <c r="I110" s="5"/>
      <c r="J110" s="5"/>
      <c r="K110" s="5"/>
      <c r="L110" s="5"/>
      <c r="M110" s="5"/>
      <c r="N110" s="5"/>
      <c r="O110" s="5"/>
      <c r="P110" s="5"/>
      <c r="Q110" s="5"/>
      <c r="R110" s="5"/>
      <c r="S110" s="5"/>
      <c r="T110" s="5"/>
      <c r="U110" s="5"/>
      <c r="V110" s="5"/>
      <c r="W110" s="5"/>
      <c r="X110" s="5"/>
      <c r="Y110" s="5"/>
      <c r="Z110" s="5"/>
    </row>
    <row r="111" ht="15.75" customHeight="1">
      <c r="A111" s="5"/>
      <c r="B111" s="119"/>
      <c r="C111" s="131"/>
      <c r="D111" s="129"/>
      <c r="E111" s="119"/>
      <c r="F111" s="129"/>
      <c r="G111" s="119"/>
      <c r="H111" s="119"/>
      <c r="I111" s="5"/>
      <c r="J111" s="5"/>
      <c r="K111" s="5"/>
      <c r="L111" s="5"/>
      <c r="M111" s="5"/>
      <c r="N111" s="5"/>
      <c r="O111" s="5"/>
      <c r="P111" s="5"/>
      <c r="Q111" s="5"/>
      <c r="R111" s="5"/>
      <c r="S111" s="5"/>
      <c r="T111" s="5"/>
      <c r="U111" s="5"/>
      <c r="V111" s="5"/>
      <c r="W111" s="5"/>
      <c r="X111" s="5"/>
      <c r="Y111" s="5"/>
      <c r="Z111" s="5"/>
    </row>
    <row r="112" ht="15.75" customHeight="1">
      <c r="A112" s="5"/>
      <c r="B112" s="5"/>
      <c r="C112" s="133"/>
      <c r="D112" s="134"/>
      <c r="E112" s="5"/>
      <c r="F112" s="134"/>
      <c r="G112" s="5"/>
      <c r="H112" s="5"/>
      <c r="I112" s="5"/>
      <c r="J112" s="5"/>
      <c r="K112" s="5"/>
      <c r="L112" s="5"/>
      <c r="M112" s="5"/>
      <c r="N112" s="5"/>
      <c r="O112" s="5"/>
      <c r="P112" s="5"/>
      <c r="Q112" s="5"/>
      <c r="R112" s="5"/>
      <c r="S112" s="5"/>
      <c r="T112" s="5"/>
      <c r="U112" s="5"/>
      <c r="V112" s="5"/>
      <c r="W112" s="5"/>
      <c r="X112" s="5"/>
      <c r="Y112" s="5"/>
      <c r="Z112" s="5"/>
    </row>
    <row r="113" ht="19.5" customHeight="1">
      <c r="A113" s="5"/>
      <c r="B113" s="125" t="s">
        <v>171</v>
      </c>
      <c r="I113" s="5"/>
      <c r="J113" s="5"/>
      <c r="K113" s="5"/>
      <c r="L113" s="5"/>
      <c r="M113" s="5"/>
      <c r="N113" s="5"/>
      <c r="O113" s="5"/>
      <c r="P113" s="5"/>
      <c r="Q113" s="5"/>
      <c r="R113" s="5"/>
      <c r="S113" s="5"/>
      <c r="T113" s="5"/>
      <c r="U113" s="5"/>
      <c r="V113" s="5"/>
      <c r="W113" s="5"/>
      <c r="X113" s="5"/>
      <c r="Y113" s="5"/>
      <c r="Z113" s="5"/>
    </row>
    <row r="114" ht="15.75" customHeight="1">
      <c r="A114" s="5"/>
      <c r="B114" s="126" t="s">
        <v>127</v>
      </c>
      <c r="C114" s="126" t="s">
        <v>128</v>
      </c>
      <c r="D114" s="126" t="s">
        <v>129</v>
      </c>
      <c r="E114" s="126" t="s">
        <v>130</v>
      </c>
      <c r="F114" s="126" t="s">
        <v>131</v>
      </c>
      <c r="G114" s="126" t="s">
        <v>50</v>
      </c>
      <c r="H114" s="126" t="s">
        <v>19</v>
      </c>
      <c r="I114" s="5"/>
      <c r="J114" s="5"/>
      <c r="K114" s="5"/>
      <c r="L114" s="5"/>
      <c r="M114" s="5"/>
      <c r="N114" s="5"/>
      <c r="O114" s="5"/>
      <c r="P114" s="5"/>
      <c r="Q114" s="5"/>
      <c r="R114" s="5"/>
      <c r="S114" s="5"/>
      <c r="T114" s="5"/>
      <c r="U114" s="5"/>
      <c r="V114" s="5"/>
      <c r="W114" s="5"/>
      <c r="X114" s="5"/>
      <c r="Y114" s="5"/>
      <c r="Z114" s="5"/>
    </row>
    <row r="115" ht="15.75" customHeight="1">
      <c r="A115" s="5"/>
      <c r="B115" s="119"/>
      <c r="C115" s="131"/>
      <c r="D115" s="129"/>
      <c r="E115" s="119"/>
      <c r="F115" s="129"/>
      <c r="G115" s="119"/>
      <c r="H115" s="119"/>
      <c r="I115" s="5"/>
      <c r="J115" s="5"/>
      <c r="K115" s="5"/>
      <c r="L115" s="5"/>
      <c r="M115" s="5"/>
      <c r="N115" s="5"/>
      <c r="O115" s="5"/>
      <c r="P115" s="5"/>
      <c r="Q115" s="5"/>
      <c r="R115" s="5"/>
      <c r="S115" s="5"/>
      <c r="T115" s="5"/>
      <c r="U115" s="5"/>
      <c r="V115" s="5"/>
      <c r="W115" s="5"/>
      <c r="X115" s="5"/>
      <c r="Y115" s="5"/>
      <c r="Z115" s="5"/>
    </row>
    <row r="116" ht="15.75" customHeight="1">
      <c r="A116" s="5"/>
      <c r="B116" s="119"/>
      <c r="C116" s="131"/>
      <c r="D116" s="129"/>
      <c r="E116" s="119"/>
      <c r="F116" s="129"/>
      <c r="G116" s="119"/>
      <c r="H116" s="119"/>
      <c r="I116" s="5"/>
      <c r="J116" s="5"/>
      <c r="K116" s="5"/>
      <c r="L116" s="5"/>
      <c r="M116" s="5"/>
      <c r="N116" s="5"/>
      <c r="O116" s="5"/>
      <c r="P116" s="5"/>
      <c r="Q116" s="5"/>
      <c r="R116" s="5"/>
      <c r="S116" s="5"/>
      <c r="T116" s="5"/>
      <c r="U116" s="5"/>
      <c r="V116" s="5"/>
      <c r="W116" s="5"/>
      <c r="X116" s="5"/>
      <c r="Y116" s="5"/>
      <c r="Z116" s="5"/>
    </row>
    <row r="117" ht="15.75" customHeight="1">
      <c r="A117" s="5"/>
      <c r="B117" s="119"/>
      <c r="C117" s="131"/>
      <c r="D117" s="129"/>
      <c r="E117" s="119"/>
      <c r="F117" s="129"/>
      <c r="G117" s="119"/>
      <c r="H117" s="119"/>
      <c r="I117" s="5"/>
      <c r="J117" s="5"/>
      <c r="K117" s="5"/>
      <c r="L117" s="5"/>
      <c r="M117" s="5"/>
      <c r="N117" s="5"/>
      <c r="O117" s="5"/>
      <c r="P117" s="5"/>
      <c r="Q117" s="5"/>
      <c r="R117" s="5"/>
      <c r="S117" s="5"/>
      <c r="T117" s="5"/>
      <c r="U117" s="5"/>
      <c r="V117" s="5"/>
      <c r="W117" s="5"/>
      <c r="X117" s="5"/>
      <c r="Y117" s="5"/>
      <c r="Z117" s="5"/>
    </row>
    <row r="118" ht="15.75" customHeight="1">
      <c r="A118" s="5"/>
      <c r="B118" s="119"/>
      <c r="C118" s="131"/>
      <c r="D118" s="129"/>
      <c r="E118" s="119"/>
      <c r="F118" s="129"/>
      <c r="G118" s="119"/>
      <c r="H118" s="119"/>
      <c r="I118" s="5"/>
      <c r="J118" s="5"/>
      <c r="K118" s="5"/>
      <c r="L118" s="5"/>
      <c r="M118" s="5"/>
      <c r="N118" s="5"/>
      <c r="O118" s="5"/>
      <c r="P118" s="5"/>
      <c r="Q118" s="5"/>
      <c r="R118" s="5"/>
      <c r="S118" s="5"/>
      <c r="T118" s="5"/>
      <c r="U118" s="5"/>
      <c r="V118" s="5"/>
      <c r="W118" s="5"/>
      <c r="X118" s="5"/>
      <c r="Y118" s="5"/>
      <c r="Z118" s="5"/>
    </row>
    <row r="119" ht="15.75" customHeight="1">
      <c r="A119" s="5"/>
      <c r="B119" s="119"/>
      <c r="C119" s="131"/>
      <c r="D119" s="129"/>
      <c r="E119" s="119"/>
      <c r="F119" s="129"/>
      <c r="G119" s="119"/>
      <c r="H119" s="119"/>
      <c r="I119" s="5"/>
      <c r="J119" s="5"/>
      <c r="K119" s="5"/>
      <c r="L119" s="5"/>
      <c r="M119" s="5"/>
      <c r="N119" s="5"/>
      <c r="O119" s="5"/>
      <c r="P119" s="5"/>
      <c r="Q119" s="5"/>
      <c r="R119" s="5"/>
      <c r="S119" s="5"/>
      <c r="T119" s="5"/>
      <c r="U119" s="5"/>
      <c r="V119" s="5"/>
      <c r="W119" s="5"/>
      <c r="X119" s="5"/>
      <c r="Y119" s="5"/>
      <c r="Z119" s="5"/>
    </row>
    <row r="120" ht="15.75" customHeight="1">
      <c r="A120" s="5"/>
      <c r="B120" s="5"/>
      <c r="C120" s="133"/>
      <c r="D120" s="134"/>
      <c r="E120" s="5"/>
      <c r="F120" s="134"/>
      <c r="G120" s="5"/>
      <c r="H120" s="5"/>
      <c r="I120" s="5"/>
      <c r="J120" s="5"/>
      <c r="K120" s="5"/>
      <c r="L120" s="5"/>
      <c r="M120" s="5"/>
      <c r="N120" s="5"/>
      <c r="O120" s="5"/>
      <c r="P120" s="5"/>
      <c r="Q120" s="5"/>
      <c r="R120" s="5"/>
      <c r="S120" s="5"/>
      <c r="T120" s="5"/>
      <c r="U120" s="5"/>
      <c r="V120" s="5"/>
      <c r="W120" s="5"/>
      <c r="X120" s="5"/>
      <c r="Y120" s="5"/>
      <c r="Z120" s="5"/>
    </row>
    <row r="121" ht="21.75" customHeight="1">
      <c r="A121" s="5"/>
      <c r="B121" s="125" t="s">
        <v>173</v>
      </c>
      <c r="I121" s="5"/>
      <c r="J121" s="5"/>
      <c r="K121" s="5"/>
      <c r="L121" s="5"/>
      <c r="M121" s="5"/>
      <c r="N121" s="5"/>
      <c r="O121" s="5"/>
      <c r="P121" s="5"/>
      <c r="Q121" s="5"/>
      <c r="R121" s="5"/>
      <c r="S121" s="5"/>
      <c r="T121" s="5"/>
      <c r="U121" s="5"/>
      <c r="V121" s="5"/>
      <c r="W121" s="5"/>
      <c r="X121" s="5"/>
      <c r="Y121" s="5"/>
      <c r="Z121" s="5"/>
    </row>
    <row r="122" ht="15.75" customHeight="1">
      <c r="A122" s="5"/>
      <c r="B122" s="126" t="s">
        <v>127</v>
      </c>
      <c r="C122" s="126" t="s">
        <v>128</v>
      </c>
      <c r="D122" s="126" t="s">
        <v>129</v>
      </c>
      <c r="E122" s="126" t="s">
        <v>130</v>
      </c>
      <c r="F122" s="126" t="s">
        <v>131</v>
      </c>
      <c r="G122" s="126" t="s">
        <v>50</v>
      </c>
      <c r="H122" s="126" t="s">
        <v>19</v>
      </c>
      <c r="I122" s="5"/>
      <c r="J122" s="5"/>
      <c r="K122" s="5"/>
      <c r="L122" s="5"/>
      <c r="M122" s="5"/>
      <c r="N122" s="5"/>
      <c r="O122" s="5"/>
      <c r="P122" s="5"/>
      <c r="Q122" s="5"/>
      <c r="R122" s="5"/>
      <c r="S122" s="5"/>
      <c r="T122" s="5"/>
      <c r="U122" s="5"/>
      <c r="V122" s="5"/>
      <c r="W122" s="5"/>
      <c r="X122" s="5"/>
      <c r="Y122" s="5"/>
      <c r="Z122" s="5"/>
    </row>
    <row r="123" ht="15.75" customHeight="1">
      <c r="A123" s="5"/>
      <c r="B123" s="154">
        <v>46258.0</v>
      </c>
      <c r="C123" s="128">
        <v>71266.0</v>
      </c>
      <c r="D123" s="129"/>
      <c r="E123" s="119"/>
      <c r="F123" s="128" t="s">
        <v>144</v>
      </c>
      <c r="G123" s="128" t="s">
        <v>152</v>
      </c>
      <c r="H123" s="119"/>
      <c r="I123" s="5"/>
      <c r="J123" s="5"/>
      <c r="K123" s="5"/>
      <c r="L123" s="5"/>
      <c r="M123" s="5"/>
      <c r="N123" s="5"/>
      <c r="O123" s="5"/>
      <c r="P123" s="5"/>
      <c r="Q123" s="5"/>
      <c r="R123" s="5"/>
      <c r="S123" s="5"/>
      <c r="T123" s="5"/>
      <c r="U123" s="5"/>
      <c r="V123" s="5"/>
      <c r="W123" s="5"/>
      <c r="X123" s="5"/>
      <c r="Y123" s="5"/>
      <c r="Z123" s="5"/>
    </row>
    <row r="124" ht="15.75" customHeight="1">
      <c r="A124" s="5"/>
      <c r="B124" s="119"/>
      <c r="C124" s="131"/>
      <c r="D124" s="129"/>
      <c r="E124" s="119"/>
      <c r="F124" s="129"/>
      <c r="G124" s="119"/>
      <c r="H124" s="119"/>
      <c r="I124" s="5"/>
      <c r="J124" s="5"/>
      <c r="K124" s="5"/>
      <c r="L124" s="5"/>
      <c r="M124" s="5"/>
      <c r="N124" s="5"/>
      <c r="O124" s="5"/>
      <c r="P124" s="5"/>
      <c r="Q124" s="5"/>
      <c r="R124" s="5"/>
      <c r="S124" s="5"/>
      <c r="T124" s="5"/>
      <c r="U124" s="5"/>
      <c r="V124" s="5"/>
      <c r="W124" s="5"/>
      <c r="X124" s="5"/>
      <c r="Y124" s="5"/>
      <c r="Z124" s="5"/>
    </row>
    <row r="125" ht="15.75" customHeight="1">
      <c r="A125" s="5"/>
      <c r="B125" s="119"/>
      <c r="C125" s="131"/>
      <c r="D125" s="129"/>
      <c r="E125" s="119"/>
      <c r="F125" s="129"/>
      <c r="G125" s="119"/>
      <c r="H125" s="119"/>
      <c r="I125" s="5"/>
      <c r="J125" s="5"/>
      <c r="K125" s="5"/>
      <c r="L125" s="5"/>
      <c r="M125" s="5"/>
      <c r="N125" s="5"/>
      <c r="O125" s="5"/>
      <c r="P125" s="5"/>
      <c r="Q125" s="5"/>
      <c r="R125" s="5"/>
      <c r="S125" s="5"/>
      <c r="T125" s="5"/>
      <c r="U125" s="5"/>
      <c r="V125" s="5"/>
      <c r="W125" s="5"/>
      <c r="X125" s="5"/>
      <c r="Y125" s="5"/>
      <c r="Z125" s="5"/>
    </row>
    <row r="126" ht="15.75" customHeight="1">
      <c r="A126" s="5"/>
      <c r="B126" s="119"/>
      <c r="C126" s="131"/>
      <c r="D126" s="129"/>
      <c r="E126" s="119"/>
      <c r="F126" s="129"/>
      <c r="G126" s="119"/>
      <c r="H126" s="119"/>
      <c r="I126" s="5"/>
      <c r="J126" s="5"/>
      <c r="K126" s="5"/>
      <c r="L126" s="5"/>
      <c r="M126" s="5"/>
      <c r="N126" s="5"/>
      <c r="O126" s="5"/>
      <c r="P126" s="5"/>
      <c r="Q126" s="5"/>
      <c r="R126" s="5"/>
      <c r="S126" s="5"/>
      <c r="T126" s="5"/>
      <c r="U126" s="5"/>
      <c r="V126" s="5"/>
      <c r="W126" s="5"/>
      <c r="X126" s="5"/>
      <c r="Y126" s="5"/>
      <c r="Z126" s="5"/>
    </row>
    <row r="127" ht="15.75" customHeight="1">
      <c r="A127" s="5"/>
      <c r="B127" s="119"/>
      <c r="C127" s="131"/>
      <c r="D127" s="129"/>
      <c r="E127" s="119"/>
      <c r="F127" s="129"/>
      <c r="G127" s="119"/>
      <c r="H127" s="119"/>
      <c r="I127" s="5"/>
      <c r="J127" s="5"/>
      <c r="K127" s="5"/>
      <c r="L127" s="5"/>
      <c r="M127" s="5"/>
      <c r="N127" s="5"/>
      <c r="O127" s="5"/>
      <c r="P127" s="5"/>
      <c r="Q127" s="5"/>
      <c r="R127" s="5"/>
      <c r="S127" s="5"/>
      <c r="T127" s="5"/>
      <c r="U127" s="5"/>
      <c r="V127" s="5"/>
      <c r="W127" s="5"/>
      <c r="X127" s="5"/>
      <c r="Y127" s="5"/>
      <c r="Z127" s="5"/>
    </row>
    <row r="128" ht="15.75" customHeight="1">
      <c r="A128" s="5"/>
      <c r="B128" s="5"/>
      <c r="C128" s="133"/>
      <c r="D128" s="134"/>
      <c r="E128" s="5"/>
      <c r="F128" s="134"/>
      <c r="G128" s="5"/>
      <c r="H128" s="5"/>
      <c r="I128" s="5"/>
      <c r="J128" s="5"/>
      <c r="K128" s="5"/>
      <c r="L128" s="5"/>
      <c r="M128" s="5"/>
      <c r="N128" s="5"/>
      <c r="O128" s="5"/>
      <c r="P128" s="5"/>
      <c r="Q128" s="5"/>
      <c r="R128" s="5"/>
      <c r="S128" s="5"/>
      <c r="T128" s="5"/>
      <c r="U128" s="5"/>
      <c r="V128" s="5"/>
      <c r="W128" s="5"/>
      <c r="X128" s="5"/>
      <c r="Y128" s="5"/>
      <c r="Z128" s="5"/>
    </row>
    <row r="129" ht="21.0" customHeight="1">
      <c r="A129" s="5"/>
      <c r="B129" s="125" t="s">
        <v>175</v>
      </c>
      <c r="I129" s="5"/>
      <c r="J129" s="5"/>
      <c r="K129" s="5"/>
      <c r="L129" s="5"/>
      <c r="M129" s="5"/>
      <c r="N129" s="5"/>
      <c r="O129" s="5"/>
      <c r="P129" s="5"/>
      <c r="Q129" s="5"/>
      <c r="R129" s="5"/>
      <c r="S129" s="5"/>
      <c r="T129" s="5"/>
      <c r="U129" s="5"/>
      <c r="V129" s="5"/>
      <c r="W129" s="5"/>
      <c r="X129" s="5"/>
      <c r="Y129" s="5"/>
      <c r="Z129" s="5"/>
    </row>
    <row r="130" ht="15.75" customHeight="1">
      <c r="A130" s="5"/>
      <c r="B130" s="126" t="s">
        <v>127</v>
      </c>
      <c r="C130" s="126" t="s">
        <v>128</v>
      </c>
      <c r="D130" s="126" t="s">
        <v>129</v>
      </c>
      <c r="E130" s="126" t="s">
        <v>130</v>
      </c>
      <c r="F130" s="126" t="s">
        <v>131</v>
      </c>
      <c r="G130" s="126" t="s">
        <v>50</v>
      </c>
      <c r="H130" s="126" t="s">
        <v>19</v>
      </c>
      <c r="I130" s="5"/>
      <c r="J130" s="5"/>
      <c r="K130" s="5"/>
      <c r="L130" s="5"/>
      <c r="M130" s="5"/>
      <c r="N130" s="5"/>
      <c r="O130" s="5"/>
      <c r="P130" s="5"/>
      <c r="Q130" s="5"/>
      <c r="R130" s="5"/>
      <c r="S130" s="5"/>
      <c r="T130" s="5"/>
      <c r="U130" s="5"/>
      <c r="V130" s="5"/>
      <c r="W130" s="5"/>
      <c r="X130" s="5"/>
      <c r="Y130" s="5"/>
      <c r="Z130" s="5"/>
    </row>
    <row r="131" ht="15.75" customHeight="1">
      <c r="A131" s="5"/>
      <c r="B131" s="127">
        <v>46257.0</v>
      </c>
      <c r="C131" s="140">
        <v>53946.0</v>
      </c>
      <c r="D131" s="129"/>
      <c r="E131" s="119"/>
      <c r="F131" s="128" t="s">
        <v>144</v>
      </c>
      <c r="G131" s="128" t="s">
        <v>152</v>
      </c>
      <c r="H131" s="119"/>
      <c r="I131" s="5"/>
      <c r="J131" s="5"/>
      <c r="K131" s="5"/>
      <c r="L131" s="5"/>
      <c r="M131" s="5"/>
      <c r="N131" s="5"/>
      <c r="O131" s="5"/>
      <c r="P131" s="5"/>
      <c r="Q131" s="5"/>
      <c r="R131" s="5"/>
      <c r="S131" s="5"/>
      <c r="T131" s="5"/>
      <c r="U131" s="5"/>
      <c r="V131" s="5"/>
      <c r="W131" s="5"/>
      <c r="X131" s="5"/>
      <c r="Y131" s="5"/>
      <c r="Z131" s="5"/>
    </row>
    <row r="132" ht="15.75" customHeight="1">
      <c r="A132" s="5"/>
      <c r="B132" s="119"/>
      <c r="C132" s="131"/>
      <c r="D132" s="129"/>
      <c r="E132" s="119"/>
      <c r="F132" s="129"/>
      <c r="G132" s="119"/>
      <c r="H132" s="119"/>
      <c r="I132" s="5"/>
      <c r="J132" s="5"/>
      <c r="K132" s="5"/>
      <c r="L132" s="5"/>
      <c r="M132" s="5"/>
      <c r="N132" s="5"/>
      <c r="O132" s="5"/>
      <c r="P132" s="5"/>
      <c r="Q132" s="5"/>
      <c r="R132" s="5"/>
      <c r="S132" s="5"/>
      <c r="T132" s="5"/>
      <c r="U132" s="5"/>
      <c r="V132" s="5"/>
      <c r="W132" s="5"/>
      <c r="X132" s="5"/>
      <c r="Y132" s="5"/>
      <c r="Z132" s="5"/>
    </row>
    <row r="133" ht="15.75" customHeight="1">
      <c r="A133" s="5"/>
      <c r="B133" s="119"/>
      <c r="C133" s="131"/>
      <c r="D133" s="129"/>
      <c r="E133" s="119"/>
      <c r="F133" s="129"/>
      <c r="G133" s="119"/>
      <c r="H133" s="119"/>
      <c r="I133" s="5"/>
      <c r="J133" s="5"/>
      <c r="K133" s="5"/>
      <c r="L133" s="5"/>
      <c r="M133" s="5"/>
      <c r="N133" s="5"/>
      <c r="O133" s="5"/>
      <c r="P133" s="5"/>
      <c r="Q133" s="5"/>
      <c r="R133" s="5"/>
      <c r="S133" s="5"/>
      <c r="T133" s="5"/>
      <c r="U133" s="5"/>
      <c r="V133" s="5"/>
      <c r="W133" s="5"/>
      <c r="X133" s="5"/>
      <c r="Y133" s="5"/>
      <c r="Z133" s="5"/>
    </row>
    <row r="134" ht="15.75" customHeight="1">
      <c r="A134" s="5"/>
      <c r="B134" s="119"/>
      <c r="C134" s="131"/>
      <c r="D134" s="129"/>
      <c r="E134" s="119"/>
      <c r="F134" s="129"/>
      <c r="G134" s="119"/>
      <c r="H134" s="119"/>
      <c r="I134" s="5"/>
      <c r="J134" s="5"/>
      <c r="K134" s="5"/>
      <c r="L134" s="5"/>
      <c r="M134" s="5"/>
      <c r="N134" s="5"/>
      <c r="O134" s="5"/>
      <c r="P134" s="5"/>
      <c r="Q134" s="5"/>
      <c r="R134" s="5"/>
      <c r="S134" s="5"/>
      <c r="T134" s="5"/>
      <c r="U134" s="5"/>
      <c r="V134" s="5"/>
      <c r="W134" s="5"/>
      <c r="X134" s="5"/>
      <c r="Y134" s="5"/>
      <c r="Z134" s="5"/>
    </row>
    <row r="135" ht="15.75" customHeight="1">
      <c r="A135" s="5"/>
      <c r="B135" s="119"/>
      <c r="C135" s="131"/>
      <c r="D135" s="129"/>
      <c r="E135" s="119"/>
      <c r="F135" s="129"/>
      <c r="G135" s="119"/>
      <c r="H135" s="119"/>
      <c r="I135" s="5"/>
      <c r="J135" s="5"/>
      <c r="K135" s="5"/>
      <c r="L135" s="5"/>
      <c r="M135" s="5"/>
      <c r="N135" s="5"/>
      <c r="O135" s="5"/>
      <c r="P135" s="5"/>
      <c r="Q135" s="5"/>
      <c r="R135" s="5"/>
      <c r="S135" s="5"/>
      <c r="T135" s="5"/>
      <c r="U135" s="5"/>
      <c r="V135" s="5"/>
      <c r="W135" s="5"/>
      <c r="X135" s="5"/>
      <c r="Y135" s="5"/>
      <c r="Z135" s="5"/>
    </row>
    <row r="136" ht="15.75" customHeight="1">
      <c r="A136" s="5"/>
      <c r="B136" s="5"/>
      <c r="C136" s="133"/>
      <c r="D136" s="134"/>
      <c r="E136" s="5"/>
      <c r="F136" s="134"/>
      <c r="G136" s="5"/>
      <c r="H136" s="5"/>
      <c r="I136" s="5"/>
      <c r="J136" s="5"/>
      <c r="K136" s="5"/>
      <c r="L136" s="5"/>
      <c r="M136" s="5"/>
      <c r="N136" s="5"/>
      <c r="O136" s="5"/>
      <c r="P136" s="5"/>
      <c r="Q136" s="5"/>
      <c r="R136" s="5"/>
      <c r="S136" s="5"/>
      <c r="T136" s="5"/>
      <c r="U136" s="5"/>
      <c r="V136" s="5"/>
      <c r="W136" s="5"/>
      <c r="X136" s="5"/>
      <c r="Y136" s="5"/>
      <c r="Z136" s="5"/>
    </row>
    <row r="137" ht="24.0" customHeight="1">
      <c r="A137" s="5"/>
      <c r="B137" s="125" t="s">
        <v>176</v>
      </c>
      <c r="I137" s="5"/>
      <c r="J137" s="5"/>
      <c r="K137" s="5"/>
      <c r="L137" s="5"/>
      <c r="M137" s="5"/>
      <c r="N137" s="5"/>
      <c r="O137" s="5"/>
      <c r="P137" s="5"/>
      <c r="Q137" s="5"/>
      <c r="R137" s="5"/>
      <c r="S137" s="5"/>
      <c r="T137" s="5"/>
      <c r="U137" s="5"/>
      <c r="V137" s="5"/>
      <c r="W137" s="5"/>
      <c r="X137" s="5"/>
      <c r="Y137" s="5"/>
      <c r="Z137" s="5"/>
    </row>
    <row r="138" ht="15.75" customHeight="1">
      <c r="A138" s="5"/>
      <c r="B138" s="126" t="s">
        <v>127</v>
      </c>
      <c r="C138" s="126" t="s">
        <v>128</v>
      </c>
      <c r="D138" s="126" t="s">
        <v>129</v>
      </c>
      <c r="E138" s="126" t="s">
        <v>130</v>
      </c>
      <c r="F138" s="126" t="s">
        <v>131</v>
      </c>
      <c r="G138" s="126" t="s">
        <v>50</v>
      </c>
      <c r="H138" s="126" t="s">
        <v>19</v>
      </c>
      <c r="I138" s="5"/>
      <c r="J138" s="5"/>
      <c r="K138" s="5"/>
      <c r="L138" s="5"/>
      <c r="M138" s="5"/>
      <c r="N138" s="5"/>
      <c r="O138" s="5"/>
      <c r="P138" s="5"/>
      <c r="Q138" s="5"/>
      <c r="R138" s="5"/>
      <c r="S138" s="5"/>
      <c r="T138" s="5"/>
      <c r="U138" s="5"/>
      <c r="V138" s="5"/>
      <c r="W138" s="5"/>
      <c r="X138" s="5"/>
      <c r="Y138" s="5"/>
      <c r="Z138" s="5"/>
    </row>
    <row r="139" ht="15.75" customHeight="1">
      <c r="A139" s="5"/>
      <c r="B139" s="119"/>
      <c r="C139" s="131"/>
      <c r="D139" s="129"/>
      <c r="E139" s="119"/>
      <c r="F139" s="129"/>
      <c r="G139" s="119"/>
      <c r="H139" s="119"/>
      <c r="I139" s="5"/>
      <c r="J139" s="5"/>
      <c r="K139" s="5"/>
      <c r="L139" s="5"/>
      <c r="M139" s="5"/>
      <c r="N139" s="5"/>
      <c r="O139" s="5"/>
      <c r="P139" s="5"/>
      <c r="Q139" s="5"/>
      <c r="R139" s="5"/>
      <c r="S139" s="5"/>
      <c r="T139" s="5"/>
      <c r="U139" s="5"/>
      <c r="V139" s="5"/>
      <c r="W139" s="5"/>
      <c r="X139" s="5"/>
      <c r="Y139" s="5"/>
      <c r="Z139" s="5"/>
    </row>
    <row r="140" ht="15.75" customHeight="1">
      <c r="A140" s="5"/>
      <c r="B140" s="119"/>
      <c r="C140" s="131"/>
      <c r="D140" s="129"/>
      <c r="E140" s="119"/>
      <c r="F140" s="129"/>
      <c r="G140" s="119"/>
      <c r="H140" s="119"/>
      <c r="I140" s="5"/>
      <c r="J140" s="5"/>
      <c r="K140" s="5"/>
      <c r="L140" s="5"/>
      <c r="M140" s="5"/>
      <c r="N140" s="5"/>
      <c r="O140" s="5"/>
      <c r="P140" s="5"/>
      <c r="Q140" s="5"/>
      <c r="R140" s="5"/>
      <c r="S140" s="5"/>
      <c r="T140" s="5"/>
      <c r="U140" s="5"/>
      <c r="V140" s="5"/>
      <c r="W140" s="5"/>
      <c r="X140" s="5"/>
      <c r="Y140" s="5"/>
      <c r="Z140" s="5"/>
    </row>
    <row r="141" ht="15.75" customHeight="1">
      <c r="A141" s="5"/>
      <c r="B141" s="119"/>
      <c r="C141" s="131"/>
      <c r="D141" s="129"/>
      <c r="E141" s="119"/>
      <c r="F141" s="129"/>
      <c r="G141" s="119"/>
      <c r="H141" s="119"/>
      <c r="I141" s="5"/>
      <c r="J141" s="5"/>
      <c r="K141" s="5"/>
      <c r="L141" s="5"/>
      <c r="M141" s="5"/>
      <c r="N141" s="5"/>
      <c r="O141" s="5"/>
      <c r="P141" s="5"/>
      <c r="Q141" s="5"/>
      <c r="R141" s="5"/>
      <c r="S141" s="5"/>
      <c r="T141" s="5"/>
      <c r="U141" s="5"/>
      <c r="V141" s="5"/>
      <c r="W141" s="5"/>
      <c r="X141" s="5"/>
      <c r="Y141" s="5"/>
      <c r="Z141" s="5"/>
    </row>
    <row r="142" ht="15.75" customHeight="1">
      <c r="A142" s="5"/>
      <c r="B142" s="119"/>
      <c r="C142" s="131"/>
      <c r="D142" s="129"/>
      <c r="E142" s="119"/>
      <c r="F142" s="129"/>
      <c r="G142" s="119"/>
      <c r="H142" s="119"/>
      <c r="I142" s="5"/>
      <c r="J142" s="5"/>
      <c r="K142" s="5"/>
      <c r="L142" s="5"/>
      <c r="M142" s="5"/>
      <c r="N142" s="5"/>
      <c r="O142" s="5"/>
      <c r="P142" s="5"/>
      <c r="Q142" s="5"/>
      <c r="R142" s="5"/>
      <c r="S142" s="5"/>
      <c r="T142" s="5"/>
      <c r="U142" s="5"/>
      <c r="V142" s="5"/>
      <c r="W142" s="5"/>
      <c r="X142" s="5"/>
      <c r="Y142" s="5"/>
      <c r="Z142" s="5"/>
    </row>
    <row r="143" ht="15.75" customHeight="1">
      <c r="A143" s="5"/>
      <c r="B143" s="119"/>
      <c r="C143" s="131"/>
      <c r="D143" s="129"/>
      <c r="E143" s="119"/>
      <c r="F143" s="129"/>
      <c r="G143" s="119"/>
      <c r="H143" s="119"/>
      <c r="I143" s="5"/>
      <c r="J143" s="5"/>
      <c r="K143" s="5"/>
      <c r="L143" s="5"/>
      <c r="M143" s="5"/>
      <c r="N143" s="5"/>
      <c r="O143" s="5"/>
      <c r="P143" s="5"/>
      <c r="Q143" s="5"/>
      <c r="R143" s="5"/>
      <c r="S143" s="5"/>
      <c r="T143" s="5"/>
      <c r="U143" s="5"/>
      <c r="V143" s="5"/>
      <c r="W143" s="5"/>
      <c r="X143" s="5"/>
      <c r="Y143" s="5"/>
      <c r="Z143" s="5"/>
    </row>
    <row r="144" ht="15.75" customHeight="1">
      <c r="A144" s="5"/>
      <c r="B144" s="5"/>
      <c r="C144" s="133"/>
      <c r="D144" s="134"/>
      <c r="E144" s="5"/>
      <c r="F144" s="134"/>
      <c r="G144" s="5"/>
      <c r="H144" s="5"/>
      <c r="I144" s="5"/>
      <c r="J144" s="5"/>
      <c r="K144" s="5"/>
      <c r="L144" s="5"/>
      <c r="M144" s="5"/>
      <c r="N144" s="5"/>
      <c r="O144" s="5"/>
      <c r="P144" s="5"/>
      <c r="Q144" s="5"/>
      <c r="R144" s="5"/>
      <c r="S144" s="5"/>
      <c r="T144" s="5"/>
      <c r="U144" s="5"/>
      <c r="V144" s="5"/>
      <c r="W144" s="5"/>
      <c r="X144" s="5"/>
      <c r="Y144" s="5"/>
      <c r="Z144" s="5"/>
    </row>
    <row r="145" ht="21.0" customHeight="1">
      <c r="A145" s="5"/>
      <c r="B145" s="125" t="s">
        <v>184</v>
      </c>
      <c r="I145" s="5"/>
      <c r="J145" s="5"/>
      <c r="K145" s="5"/>
      <c r="L145" s="5"/>
      <c r="M145" s="5"/>
      <c r="N145" s="5"/>
      <c r="O145" s="5"/>
      <c r="P145" s="5"/>
      <c r="Q145" s="5"/>
      <c r="R145" s="5"/>
      <c r="S145" s="5"/>
      <c r="T145" s="5"/>
      <c r="U145" s="5"/>
      <c r="V145" s="5"/>
      <c r="W145" s="5"/>
      <c r="X145" s="5"/>
      <c r="Y145" s="5"/>
      <c r="Z145" s="5"/>
    </row>
    <row r="146" ht="15.75" customHeight="1">
      <c r="A146" s="5"/>
      <c r="B146" s="126" t="s">
        <v>127</v>
      </c>
      <c r="C146" s="126" t="s">
        <v>128</v>
      </c>
      <c r="D146" s="126" t="s">
        <v>129</v>
      </c>
      <c r="E146" s="126" t="s">
        <v>130</v>
      </c>
      <c r="F146" s="126" t="s">
        <v>131</v>
      </c>
      <c r="G146" s="126" t="s">
        <v>50</v>
      </c>
      <c r="H146" s="126" t="s">
        <v>19</v>
      </c>
      <c r="I146" s="5"/>
      <c r="J146" s="5"/>
      <c r="K146" s="5"/>
      <c r="L146" s="5"/>
      <c r="M146" s="5"/>
      <c r="N146" s="5"/>
      <c r="O146" s="5"/>
      <c r="P146" s="5"/>
      <c r="Q146" s="5"/>
      <c r="R146" s="5"/>
      <c r="S146" s="5"/>
      <c r="T146" s="5"/>
      <c r="U146" s="5"/>
      <c r="V146" s="5"/>
      <c r="W146" s="5"/>
      <c r="X146" s="5"/>
      <c r="Y146" s="5"/>
      <c r="Z146" s="5"/>
    </row>
    <row r="147" ht="15.75" customHeight="1">
      <c r="A147" s="5"/>
      <c r="B147" s="119"/>
      <c r="C147" s="131"/>
      <c r="D147" s="129"/>
      <c r="E147" s="119"/>
      <c r="F147" s="129"/>
      <c r="G147" s="119"/>
      <c r="H147" s="119"/>
      <c r="I147" s="5"/>
      <c r="J147" s="5"/>
      <c r="K147" s="5"/>
      <c r="L147" s="5"/>
      <c r="M147" s="5"/>
      <c r="N147" s="5"/>
      <c r="O147" s="5"/>
      <c r="P147" s="5"/>
      <c r="Q147" s="5"/>
      <c r="R147" s="5"/>
      <c r="S147" s="5"/>
      <c r="T147" s="5"/>
      <c r="U147" s="5"/>
      <c r="V147" s="5"/>
      <c r="W147" s="5"/>
      <c r="X147" s="5"/>
      <c r="Y147" s="5"/>
      <c r="Z147" s="5"/>
    </row>
    <row r="148" ht="15.75" customHeight="1">
      <c r="A148" s="5"/>
      <c r="B148" s="119"/>
      <c r="C148" s="131"/>
      <c r="D148" s="129"/>
      <c r="E148" s="119"/>
      <c r="F148" s="129"/>
      <c r="G148" s="119"/>
      <c r="H148" s="119"/>
      <c r="I148" s="5"/>
      <c r="J148" s="5"/>
      <c r="K148" s="5"/>
      <c r="L148" s="5"/>
      <c r="M148" s="5"/>
      <c r="N148" s="5"/>
      <c r="O148" s="5"/>
      <c r="P148" s="5"/>
      <c r="Q148" s="5"/>
      <c r="R148" s="5"/>
      <c r="S148" s="5"/>
      <c r="T148" s="5"/>
      <c r="U148" s="5"/>
      <c r="V148" s="5"/>
      <c r="W148" s="5"/>
      <c r="X148" s="5"/>
      <c r="Y148" s="5"/>
      <c r="Z148" s="5"/>
    </row>
    <row r="149" ht="15.75" customHeight="1">
      <c r="A149" s="5"/>
      <c r="B149" s="119"/>
      <c r="C149" s="131"/>
      <c r="D149" s="129"/>
      <c r="E149" s="119"/>
      <c r="F149" s="129"/>
      <c r="G149" s="119"/>
      <c r="H149" s="119"/>
      <c r="I149" s="5"/>
      <c r="J149" s="5"/>
      <c r="K149" s="5"/>
      <c r="L149" s="5"/>
      <c r="M149" s="5"/>
      <c r="N149" s="5"/>
      <c r="O149" s="5"/>
      <c r="P149" s="5"/>
      <c r="Q149" s="5"/>
      <c r="R149" s="5"/>
      <c r="S149" s="5"/>
      <c r="T149" s="5"/>
      <c r="U149" s="5"/>
      <c r="V149" s="5"/>
      <c r="W149" s="5"/>
      <c r="X149" s="5"/>
      <c r="Y149" s="5"/>
      <c r="Z149" s="5"/>
    </row>
    <row r="150" ht="15.75" customHeight="1">
      <c r="A150" s="5"/>
      <c r="B150" s="119"/>
      <c r="C150" s="131"/>
      <c r="D150" s="129"/>
      <c r="E150" s="119"/>
      <c r="F150" s="129"/>
      <c r="G150" s="119"/>
      <c r="H150" s="119"/>
      <c r="I150" s="5"/>
      <c r="J150" s="5"/>
      <c r="K150" s="5"/>
      <c r="L150" s="5"/>
      <c r="M150" s="5"/>
      <c r="N150" s="5"/>
      <c r="O150" s="5"/>
      <c r="P150" s="5"/>
      <c r="Q150" s="5"/>
      <c r="R150" s="5"/>
      <c r="S150" s="5"/>
      <c r="T150" s="5"/>
      <c r="U150" s="5"/>
      <c r="V150" s="5"/>
      <c r="W150" s="5"/>
      <c r="X150" s="5"/>
      <c r="Y150" s="5"/>
      <c r="Z150" s="5"/>
    </row>
    <row r="151" ht="15.75" customHeight="1">
      <c r="A151" s="5"/>
      <c r="B151" s="119"/>
      <c r="C151" s="131"/>
      <c r="D151" s="129"/>
      <c r="E151" s="119"/>
      <c r="F151" s="129"/>
      <c r="G151" s="119"/>
      <c r="H151" s="119"/>
      <c r="I151" s="5"/>
      <c r="J151" s="5"/>
      <c r="K151" s="5"/>
      <c r="L151" s="5"/>
      <c r="M151" s="5"/>
      <c r="N151" s="5"/>
      <c r="O151" s="5"/>
      <c r="P151" s="5"/>
      <c r="Q151" s="5"/>
      <c r="R151" s="5"/>
      <c r="S151" s="5"/>
      <c r="T151" s="5"/>
      <c r="U151" s="5"/>
      <c r="V151" s="5"/>
      <c r="W151" s="5"/>
      <c r="X151" s="5"/>
      <c r="Y151" s="5"/>
      <c r="Z151" s="5"/>
    </row>
    <row r="152" ht="15.75" customHeight="1">
      <c r="A152" s="5"/>
      <c r="B152" s="5"/>
      <c r="C152" s="133"/>
      <c r="D152" s="134"/>
      <c r="E152" s="5"/>
      <c r="F152" s="134"/>
      <c r="G152" s="5"/>
      <c r="H152" s="5"/>
      <c r="I152" s="5"/>
      <c r="J152" s="5"/>
      <c r="K152" s="5"/>
      <c r="L152" s="5"/>
      <c r="M152" s="5"/>
      <c r="N152" s="5"/>
      <c r="O152" s="5"/>
      <c r="P152" s="5"/>
      <c r="Q152" s="5"/>
      <c r="R152" s="5"/>
      <c r="S152" s="5"/>
      <c r="T152" s="5"/>
      <c r="U152" s="5"/>
      <c r="V152" s="5"/>
      <c r="W152" s="5"/>
      <c r="X152" s="5"/>
      <c r="Y152" s="5"/>
      <c r="Z152" s="5"/>
    </row>
    <row r="153" ht="27.0" customHeight="1">
      <c r="A153" s="5"/>
      <c r="B153" s="125" t="s">
        <v>190</v>
      </c>
      <c r="I153" s="5"/>
      <c r="J153" s="5"/>
      <c r="K153" s="5"/>
      <c r="L153" s="5"/>
      <c r="M153" s="5"/>
      <c r="N153" s="5"/>
      <c r="O153" s="5"/>
      <c r="P153" s="5"/>
      <c r="Q153" s="5"/>
      <c r="R153" s="5"/>
      <c r="S153" s="5"/>
      <c r="T153" s="5"/>
      <c r="U153" s="5"/>
      <c r="V153" s="5"/>
      <c r="W153" s="5"/>
      <c r="X153" s="5"/>
      <c r="Y153" s="5"/>
      <c r="Z153" s="5"/>
    </row>
    <row r="154" ht="15.75" customHeight="1">
      <c r="A154" s="5"/>
      <c r="B154" s="126" t="s">
        <v>127</v>
      </c>
      <c r="C154" s="126" t="s">
        <v>128</v>
      </c>
      <c r="D154" s="126" t="s">
        <v>129</v>
      </c>
      <c r="E154" s="126" t="s">
        <v>130</v>
      </c>
      <c r="F154" s="126" t="s">
        <v>131</v>
      </c>
      <c r="G154" s="126" t="s">
        <v>50</v>
      </c>
      <c r="H154" s="126" t="s">
        <v>19</v>
      </c>
      <c r="I154" s="5"/>
      <c r="J154" s="5"/>
      <c r="K154" s="5"/>
      <c r="L154" s="5"/>
      <c r="M154" s="5"/>
      <c r="N154" s="5"/>
      <c r="O154" s="5"/>
      <c r="P154" s="5"/>
      <c r="Q154" s="5"/>
      <c r="R154" s="5"/>
      <c r="S154" s="5"/>
      <c r="T154" s="5"/>
      <c r="U154" s="5"/>
      <c r="V154" s="5"/>
      <c r="W154" s="5"/>
      <c r="X154" s="5"/>
      <c r="Y154" s="5"/>
      <c r="Z154" s="5"/>
    </row>
    <row r="155" ht="15.75" customHeight="1">
      <c r="A155" s="5"/>
      <c r="B155" s="127">
        <v>46183.0</v>
      </c>
      <c r="C155" s="128">
        <v>32887.0</v>
      </c>
      <c r="D155" s="128">
        <v>189.0</v>
      </c>
      <c r="E155" s="128">
        <v>4232520.0</v>
      </c>
      <c r="F155" s="128" t="s">
        <v>191</v>
      </c>
      <c r="G155" s="128" t="s">
        <v>53</v>
      </c>
      <c r="H155" s="119"/>
      <c r="I155" s="5"/>
      <c r="J155" s="5"/>
      <c r="K155" s="5"/>
      <c r="L155" s="5"/>
      <c r="M155" s="5"/>
      <c r="N155" s="5"/>
      <c r="O155" s="5"/>
      <c r="P155" s="5"/>
      <c r="Q155" s="5"/>
      <c r="R155" s="5"/>
      <c r="S155" s="5"/>
      <c r="T155" s="5"/>
      <c r="U155" s="5"/>
      <c r="V155" s="5"/>
      <c r="W155" s="5"/>
      <c r="X155" s="5"/>
      <c r="Y155" s="5"/>
      <c r="Z155" s="5"/>
    </row>
    <row r="156" ht="15.75" customHeight="1">
      <c r="A156" s="5"/>
      <c r="B156" s="119"/>
      <c r="C156" s="131"/>
      <c r="D156" s="129"/>
      <c r="E156" s="119"/>
      <c r="F156" s="129"/>
      <c r="G156" s="119"/>
      <c r="H156" s="119"/>
      <c r="I156" s="5"/>
      <c r="J156" s="5"/>
      <c r="K156" s="5"/>
      <c r="L156" s="5"/>
      <c r="M156" s="5"/>
      <c r="N156" s="5"/>
      <c r="O156" s="5"/>
      <c r="P156" s="5"/>
      <c r="Q156" s="5"/>
      <c r="R156" s="5"/>
      <c r="S156" s="5"/>
      <c r="T156" s="5"/>
      <c r="U156" s="5"/>
      <c r="V156" s="5"/>
      <c r="W156" s="5"/>
      <c r="X156" s="5"/>
      <c r="Y156" s="5"/>
      <c r="Z156" s="5"/>
    </row>
    <row r="157" ht="15.75" customHeight="1">
      <c r="A157" s="5"/>
      <c r="B157" s="119"/>
      <c r="C157" s="131"/>
      <c r="D157" s="129"/>
      <c r="E157" s="119"/>
      <c r="F157" s="129"/>
      <c r="G157" s="119"/>
      <c r="H157" s="119"/>
      <c r="I157" s="5"/>
      <c r="J157" s="5"/>
      <c r="K157" s="5"/>
      <c r="L157" s="5"/>
      <c r="M157" s="5"/>
      <c r="N157" s="5"/>
      <c r="O157" s="5"/>
      <c r="P157" s="5"/>
      <c r="Q157" s="5"/>
      <c r="R157" s="5"/>
      <c r="S157" s="5"/>
      <c r="T157" s="5"/>
      <c r="U157" s="5"/>
      <c r="V157" s="5"/>
      <c r="W157" s="5"/>
      <c r="X157" s="5"/>
      <c r="Y157" s="5"/>
      <c r="Z157" s="5"/>
    </row>
    <row r="158" ht="15.75" customHeight="1">
      <c r="A158" s="5"/>
      <c r="B158" s="119"/>
      <c r="C158" s="131"/>
      <c r="D158" s="129"/>
      <c r="E158" s="119"/>
      <c r="F158" s="129"/>
      <c r="G158" s="119"/>
      <c r="H158" s="119"/>
      <c r="I158" s="5"/>
      <c r="J158" s="5"/>
      <c r="K158" s="5"/>
      <c r="L158" s="5"/>
      <c r="M158" s="5"/>
      <c r="N158" s="5"/>
      <c r="O158" s="5"/>
      <c r="P158" s="5"/>
      <c r="Q158" s="5"/>
      <c r="R158" s="5"/>
      <c r="S158" s="5"/>
      <c r="T158" s="5"/>
      <c r="U158" s="5"/>
      <c r="V158" s="5"/>
      <c r="W158" s="5"/>
      <c r="X158" s="5"/>
      <c r="Y158" s="5"/>
      <c r="Z158" s="5"/>
    </row>
    <row r="159" ht="15.75" customHeight="1">
      <c r="A159" s="5"/>
      <c r="B159" s="119"/>
      <c r="C159" s="131"/>
      <c r="D159" s="129"/>
      <c r="E159" s="119"/>
      <c r="F159" s="129"/>
      <c r="G159" s="119"/>
      <c r="H159" s="119"/>
      <c r="I159" s="5"/>
      <c r="J159" s="5"/>
      <c r="K159" s="5"/>
      <c r="L159" s="5"/>
      <c r="M159" s="5"/>
      <c r="N159" s="5"/>
      <c r="O159" s="5"/>
      <c r="P159" s="5"/>
      <c r="Q159" s="5"/>
      <c r="R159" s="5"/>
      <c r="S159" s="5"/>
      <c r="T159" s="5"/>
      <c r="U159" s="5"/>
      <c r="V159" s="5"/>
      <c r="W159" s="5"/>
      <c r="X159" s="5"/>
      <c r="Y159" s="5"/>
      <c r="Z159" s="5"/>
    </row>
    <row r="160" ht="15.75" customHeight="1">
      <c r="A160" s="5"/>
      <c r="B160" s="5"/>
      <c r="C160" s="133"/>
      <c r="D160" s="134"/>
      <c r="E160" s="5"/>
      <c r="F160" s="134"/>
      <c r="G160" s="5"/>
      <c r="H160" s="5"/>
      <c r="I160" s="5"/>
      <c r="J160" s="5"/>
      <c r="K160" s="5"/>
      <c r="L160" s="5"/>
      <c r="M160" s="5"/>
      <c r="N160" s="5"/>
      <c r="O160" s="5"/>
      <c r="P160" s="5"/>
      <c r="Q160" s="5"/>
      <c r="R160" s="5"/>
      <c r="S160" s="5"/>
      <c r="T160" s="5"/>
      <c r="U160" s="5"/>
      <c r="V160" s="5"/>
      <c r="W160" s="5"/>
      <c r="X160" s="5"/>
      <c r="Y160" s="5"/>
      <c r="Z160" s="5"/>
    </row>
    <row r="161" ht="21.75" customHeight="1">
      <c r="A161" s="5"/>
      <c r="B161" s="125" t="s">
        <v>192</v>
      </c>
      <c r="I161" s="5"/>
      <c r="J161" s="5"/>
      <c r="K161" s="5"/>
      <c r="L161" s="5"/>
      <c r="M161" s="5"/>
      <c r="N161" s="5"/>
      <c r="O161" s="5"/>
      <c r="P161" s="5"/>
      <c r="Q161" s="5"/>
      <c r="R161" s="5"/>
      <c r="S161" s="5"/>
      <c r="T161" s="5"/>
      <c r="U161" s="5"/>
      <c r="V161" s="5"/>
      <c r="W161" s="5"/>
      <c r="X161" s="5"/>
      <c r="Y161" s="5"/>
      <c r="Z161" s="5"/>
    </row>
    <row r="162" ht="15.75" customHeight="1">
      <c r="A162" s="5"/>
      <c r="B162" s="126" t="s">
        <v>127</v>
      </c>
      <c r="C162" s="126" t="s">
        <v>128</v>
      </c>
      <c r="D162" s="126" t="s">
        <v>129</v>
      </c>
      <c r="E162" s="126" t="s">
        <v>130</v>
      </c>
      <c r="F162" s="126" t="s">
        <v>131</v>
      </c>
      <c r="G162" s="126" t="s">
        <v>50</v>
      </c>
      <c r="H162" s="126" t="s">
        <v>19</v>
      </c>
      <c r="I162" s="5"/>
      <c r="J162" s="5"/>
      <c r="K162" s="5"/>
      <c r="L162" s="5"/>
      <c r="M162" s="5"/>
      <c r="N162" s="5"/>
      <c r="O162" s="5"/>
      <c r="P162" s="5"/>
      <c r="Q162" s="5"/>
      <c r="R162" s="5"/>
      <c r="S162" s="5"/>
      <c r="T162" s="5"/>
      <c r="U162" s="5"/>
      <c r="V162" s="5"/>
      <c r="W162" s="5"/>
      <c r="X162" s="5"/>
      <c r="Y162" s="5"/>
      <c r="Z162" s="5"/>
    </row>
    <row r="163" ht="15.75" customHeight="1">
      <c r="A163" s="5"/>
      <c r="B163" s="127">
        <v>46253.0</v>
      </c>
      <c r="C163" s="128">
        <v>31889.0</v>
      </c>
      <c r="D163" s="128"/>
      <c r="E163" s="140">
        <v>4125600.0</v>
      </c>
      <c r="F163" s="128" t="s">
        <v>191</v>
      </c>
      <c r="G163" s="128"/>
      <c r="H163" s="119"/>
      <c r="I163" s="5"/>
      <c r="J163" s="5"/>
      <c r="K163" s="5"/>
      <c r="L163" s="5"/>
      <c r="M163" s="5"/>
      <c r="N163" s="5"/>
      <c r="O163" s="5"/>
      <c r="P163" s="5"/>
      <c r="Q163" s="5"/>
      <c r="R163" s="5"/>
      <c r="S163" s="5"/>
      <c r="T163" s="5"/>
      <c r="U163" s="5"/>
      <c r="V163" s="5"/>
      <c r="W163" s="5"/>
      <c r="X163" s="5"/>
      <c r="Y163" s="5"/>
      <c r="Z163" s="5"/>
    </row>
    <row r="164" ht="15.75" customHeight="1">
      <c r="A164" s="5"/>
      <c r="B164" s="119"/>
      <c r="C164" s="131"/>
      <c r="D164" s="129"/>
      <c r="E164" s="119"/>
      <c r="F164" s="129"/>
      <c r="G164" s="119"/>
      <c r="H164" s="119"/>
      <c r="I164" s="5"/>
      <c r="J164" s="5"/>
      <c r="K164" s="5"/>
      <c r="L164" s="5"/>
      <c r="M164" s="5"/>
      <c r="N164" s="5"/>
      <c r="O164" s="5"/>
      <c r="P164" s="5"/>
      <c r="Q164" s="5"/>
      <c r="R164" s="5"/>
      <c r="S164" s="5"/>
      <c r="T164" s="5"/>
      <c r="U164" s="5"/>
      <c r="V164" s="5"/>
      <c r="W164" s="5"/>
      <c r="X164" s="5"/>
      <c r="Y164" s="5"/>
      <c r="Z164" s="5"/>
    </row>
    <row r="165" ht="15.75" customHeight="1">
      <c r="A165" s="5"/>
      <c r="B165" s="119"/>
      <c r="C165" s="131"/>
      <c r="D165" s="129"/>
      <c r="E165" s="119"/>
      <c r="F165" s="129"/>
      <c r="G165" s="119"/>
      <c r="H165" s="119"/>
      <c r="I165" s="5"/>
      <c r="J165" s="5"/>
      <c r="K165" s="5"/>
      <c r="L165" s="5"/>
      <c r="M165" s="5"/>
      <c r="N165" s="5"/>
      <c r="O165" s="5"/>
      <c r="P165" s="5"/>
      <c r="Q165" s="5"/>
      <c r="R165" s="5"/>
      <c r="S165" s="5"/>
      <c r="T165" s="5"/>
      <c r="U165" s="5"/>
      <c r="V165" s="5"/>
      <c r="W165" s="5"/>
      <c r="X165" s="5"/>
      <c r="Y165" s="5"/>
      <c r="Z165" s="5"/>
    </row>
    <row r="166" ht="15.75" customHeight="1">
      <c r="A166" s="5"/>
      <c r="B166" s="119"/>
      <c r="C166" s="131"/>
      <c r="D166" s="129"/>
      <c r="E166" s="119"/>
      <c r="F166" s="129"/>
      <c r="G166" s="119"/>
      <c r="H166" s="119"/>
      <c r="I166" s="5"/>
      <c r="J166" s="5"/>
      <c r="K166" s="5"/>
      <c r="L166" s="5"/>
      <c r="M166" s="5"/>
      <c r="N166" s="5"/>
      <c r="O166" s="5"/>
      <c r="P166" s="5"/>
      <c r="Q166" s="5"/>
      <c r="R166" s="5"/>
      <c r="S166" s="5"/>
      <c r="T166" s="5"/>
      <c r="U166" s="5"/>
      <c r="V166" s="5"/>
      <c r="W166" s="5"/>
      <c r="X166" s="5"/>
      <c r="Y166" s="5"/>
      <c r="Z166" s="5"/>
    </row>
    <row r="167" ht="15.75" customHeight="1">
      <c r="A167" s="5"/>
      <c r="B167" s="119"/>
      <c r="C167" s="131"/>
      <c r="D167" s="129"/>
      <c r="E167" s="119"/>
      <c r="F167" s="129"/>
      <c r="G167" s="119"/>
      <c r="H167" s="119"/>
      <c r="I167" s="5"/>
      <c r="J167" s="5"/>
      <c r="K167" s="5"/>
      <c r="L167" s="5"/>
      <c r="M167" s="5"/>
      <c r="N167" s="5"/>
      <c r="O167" s="5"/>
      <c r="P167" s="5"/>
      <c r="Q167" s="5"/>
      <c r="R167" s="5"/>
      <c r="S167" s="5"/>
      <c r="T167" s="5"/>
      <c r="U167" s="5"/>
      <c r="V167" s="5"/>
      <c r="W167" s="5"/>
      <c r="X167" s="5"/>
      <c r="Y167" s="5"/>
      <c r="Z167" s="5"/>
    </row>
    <row r="168" ht="15.75" customHeight="1">
      <c r="A168" s="5"/>
      <c r="B168" s="5"/>
      <c r="C168" s="133"/>
      <c r="D168" s="134"/>
      <c r="E168" s="5"/>
      <c r="F168" s="134"/>
      <c r="G168" s="5"/>
      <c r="H168" s="5"/>
      <c r="I168" s="5"/>
      <c r="J168" s="5"/>
      <c r="K168" s="5"/>
      <c r="L168" s="5"/>
      <c r="M168" s="5"/>
      <c r="N168" s="5"/>
      <c r="O168" s="5"/>
      <c r="P168" s="5"/>
      <c r="Q168" s="5"/>
      <c r="R168" s="5"/>
      <c r="S168" s="5"/>
      <c r="T168" s="5"/>
      <c r="U168" s="5"/>
      <c r="V168" s="5"/>
      <c r="W168" s="5"/>
      <c r="X168" s="5"/>
      <c r="Y168" s="5"/>
      <c r="Z168" s="5"/>
    </row>
    <row r="169" ht="22.5" customHeight="1">
      <c r="A169" s="5"/>
      <c r="B169" s="125" t="s">
        <v>195</v>
      </c>
      <c r="I169" s="5"/>
      <c r="J169" s="5"/>
      <c r="K169" s="5"/>
      <c r="L169" s="5"/>
      <c r="M169" s="5"/>
      <c r="N169" s="5"/>
      <c r="O169" s="5"/>
      <c r="P169" s="5"/>
      <c r="Q169" s="5"/>
      <c r="R169" s="5"/>
      <c r="S169" s="5"/>
      <c r="T169" s="5"/>
      <c r="U169" s="5"/>
      <c r="V169" s="5"/>
      <c r="W169" s="5"/>
      <c r="X169" s="5"/>
      <c r="Y169" s="5"/>
      <c r="Z169" s="5"/>
    </row>
    <row r="170" ht="15.75" customHeight="1">
      <c r="A170" s="5"/>
      <c r="B170" s="126" t="s">
        <v>127</v>
      </c>
      <c r="C170" s="126" t="s">
        <v>128</v>
      </c>
      <c r="D170" s="126" t="s">
        <v>129</v>
      </c>
      <c r="E170" s="126" t="s">
        <v>130</v>
      </c>
      <c r="F170" s="126" t="s">
        <v>131</v>
      </c>
      <c r="G170" s="126" t="s">
        <v>50</v>
      </c>
      <c r="H170" s="126" t="s">
        <v>19</v>
      </c>
      <c r="I170" s="5"/>
      <c r="J170" s="5"/>
      <c r="K170" s="5"/>
      <c r="L170" s="5"/>
      <c r="M170" s="5"/>
      <c r="N170" s="5"/>
      <c r="O170" s="5"/>
      <c r="P170" s="5"/>
      <c r="Q170" s="5"/>
      <c r="R170" s="5"/>
      <c r="S170" s="5"/>
      <c r="T170" s="5"/>
      <c r="U170" s="5"/>
      <c r="V170" s="5"/>
      <c r="W170" s="5"/>
      <c r="X170" s="5"/>
      <c r="Y170" s="5"/>
      <c r="Z170" s="5"/>
    </row>
    <row r="171" ht="15.75" customHeight="1">
      <c r="A171" s="5"/>
      <c r="B171" s="127">
        <v>46255.0</v>
      </c>
      <c r="C171" s="128">
        <v>33083.0</v>
      </c>
      <c r="D171" s="128">
        <v>4089.0</v>
      </c>
      <c r="E171" s="140">
        <v>3736800.0</v>
      </c>
      <c r="F171" s="128" t="s">
        <v>191</v>
      </c>
      <c r="G171" s="128" t="s">
        <v>152</v>
      </c>
      <c r="H171" s="119"/>
      <c r="I171" s="5"/>
      <c r="J171" s="5"/>
      <c r="K171" s="5"/>
      <c r="L171" s="5"/>
      <c r="M171" s="5"/>
      <c r="N171" s="5"/>
      <c r="O171" s="5"/>
      <c r="P171" s="5"/>
      <c r="Q171" s="5"/>
      <c r="R171" s="5"/>
      <c r="S171" s="5"/>
      <c r="T171" s="5"/>
      <c r="U171" s="5"/>
      <c r="V171" s="5"/>
      <c r="W171" s="5"/>
      <c r="X171" s="5"/>
      <c r="Y171" s="5"/>
      <c r="Z171" s="5"/>
    </row>
    <row r="172" ht="15.75" customHeight="1">
      <c r="A172" s="5"/>
      <c r="B172" s="119"/>
      <c r="C172" s="131"/>
      <c r="D172" s="129"/>
      <c r="E172" s="119"/>
      <c r="F172" s="129"/>
      <c r="G172" s="119"/>
      <c r="H172" s="119"/>
      <c r="I172" s="5"/>
      <c r="J172" s="5"/>
      <c r="K172" s="5"/>
      <c r="L172" s="5"/>
      <c r="M172" s="5"/>
      <c r="N172" s="5"/>
      <c r="O172" s="5"/>
      <c r="P172" s="5"/>
      <c r="Q172" s="5"/>
      <c r="R172" s="5"/>
      <c r="S172" s="5"/>
      <c r="T172" s="5"/>
      <c r="U172" s="5"/>
      <c r="V172" s="5"/>
      <c r="W172" s="5"/>
      <c r="X172" s="5"/>
      <c r="Y172" s="5"/>
      <c r="Z172" s="5"/>
    </row>
    <row r="173" ht="15.75" customHeight="1">
      <c r="A173" s="5"/>
      <c r="B173" s="119"/>
      <c r="C173" s="131"/>
      <c r="D173" s="129"/>
      <c r="E173" s="119"/>
      <c r="F173" s="129"/>
      <c r="G173" s="119"/>
      <c r="H173" s="119"/>
      <c r="I173" s="5"/>
      <c r="J173" s="5"/>
      <c r="K173" s="5"/>
      <c r="L173" s="5"/>
      <c r="M173" s="5"/>
      <c r="N173" s="5"/>
      <c r="O173" s="5"/>
      <c r="P173" s="5"/>
      <c r="Q173" s="5"/>
      <c r="R173" s="5"/>
      <c r="S173" s="5"/>
      <c r="T173" s="5"/>
      <c r="U173" s="5"/>
      <c r="V173" s="5"/>
      <c r="W173" s="5"/>
      <c r="X173" s="5"/>
      <c r="Y173" s="5"/>
      <c r="Z173" s="5"/>
    </row>
    <row r="174" ht="15.75" customHeight="1">
      <c r="A174" s="5"/>
      <c r="B174" s="119"/>
      <c r="C174" s="131"/>
      <c r="D174" s="129"/>
      <c r="E174" s="119"/>
      <c r="F174" s="129"/>
      <c r="G174" s="119"/>
      <c r="H174" s="119"/>
      <c r="I174" s="5"/>
      <c r="J174" s="5"/>
      <c r="K174" s="5"/>
      <c r="L174" s="5"/>
      <c r="M174" s="5"/>
      <c r="N174" s="5"/>
      <c r="O174" s="5"/>
      <c r="P174" s="5"/>
      <c r="Q174" s="5"/>
      <c r="R174" s="5"/>
      <c r="S174" s="5"/>
      <c r="T174" s="5"/>
      <c r="U174" s="5"/>
      <c r="V174" s="5"/>
      <c r="W174" s="5"/>
      <c r="X174" s="5"/>
      <c r="Y174" s="5"/>
      <c r="Z174" s="5"/>
    </row>
    <row r="175" ht="15.75" customHeight="1">
      <c r="A175" s="5"/>
      <c r="B175" s="119"/>
      <c r="C175" s="131"/>
      <c r="D175" s="129"/>
      <c r="E175" s="119"/>
      <c r="F175" s="129"/>
      <c r="G175" s="119"/>
      <c r="H175" s="119"/>
      <c r="I175" s="5"/>
      <c r="J175" s="5"/>
      <c r="K175" s="5"/>
      <c r="L175" s="5"/>
      <c r="M175" s="5"/>
      <c r="N175" s="5"/>
      <c r="O175" s="5"/>
      <c r="P175" s="5"/>
      <c r="Q175" s="5"/>
      <c r="R175" s="5"/>
      <c r="S175" s="5"/>
      <c r="T175" s="5"/>
      <c r="U175" s="5"/>
      <c r="V175" s="5"/>
      <c r="W175" s="5"/>
      <c r="X175" s="5"/>
      <c r="Y175" s="5"/>
      <c r="Z175" s="5"/>
    </row>
    <row r="176" ht="15.75" customHeight="1">
      <c r="A176" s="5"/>
      <c r="B176" s="5"/>
      <c r="C176" s="133"/>
      <c r="D176" s="134"/>
      <c r="E176" s="5"/>
      <c r="F176" s="134"/>
      <c r="G176" s="5"/>
      <c r="H176" s="5"/>
      <c r="I176" s="5"/>
      <c r="J176" s="5"/>
      <c r="K176" s="5"/>
      <c r="L176" s="5"/>
      <c r="M176" s="5"/>
      <c r="N176" s="5"/>
      <c r="O176" s="5"/>
      <c r="P176" s="5"/>
      <c r="Q176" s="5"/>
      <c r="R176" s="5"/>
      <c r="S176" s="5"/>
      <c r="T176" s="5"/>
      <c r="U176" s="5"/>
      <c r="V176" s="5"/>
      <c r="W176" s="5"/>
      <c r="X176" s="5"/>
      <c r="Y176" s="5"/>
      <c r="Z176" s="5"/>
    </row>
    <row r="177" ht="21.75" customHeight="1">
      <c r="A177" s="5"/>
      <c r="B177" s="125" t="s">
        <v>200</v>
      </c>
      <c r="I177" s="5"/>
      <c r="J177" s="5"/>
      <c r="K177" s="5"/>
      <c r="L177" s="5"/>
      <c r="M177" s="5"/>
      <c r="N177" s="5"/>
      <c r="O177" s="5"/>
      <c r="P177" s="5"/>
      <c r="Q177" s="5"/>
      <c r="R177" s="5"/>
      <c r="S177" s="5"/>
      <c r="T177" s="5"/>
      <c r="U177" s="5"/>
      <c r="V177" s="5"/>
      <c r="W177" s="5"/>
      <c r="X177" s="5"/>
      <c r="Y177" s="5"/>
      <c r="Z177" s="5"/>
    </row>
    <row r="178" ht="15.75" customHeight="1">
      <c r="A178" s="5"/>
      <c r="B178" s="126" t="s">
        <v>127</v>
      </c>
      <c r="C178" s="126" t="s">
        <v>128</v>
      </c>
      <c r="D178" s="126" t="s">
        <v>129</v>
      </c>
      <c r="E178" s="126" t="s">
        <v>130</v>
      </c>
      <c r="F178" s="126" t="s">
        <v>131</v>
      </c>
      <c r="G178" s="126" t="s">
        <v>50</v>
      </c>
      <c r="H178" s="126" t="s">
        <v>19</v>
      </c>
      <c r="I178" s="5"/>
      <c r="J178" s="5"/>
      <c r="K178" s="5"/>
      <c r="L178" s="5"/>
      <c r="M178" s="5"/>
      <c r="N178" s="5"/>
      <c r="O178" s="5"/>
      <c r="P178" s="5"/>
      <c r="Q178" s="5"/>
      <c r="R178" s="5"/>
      <c r="S178" s="5"/>
      <c r="T178" s="5"/>
      <c r="U178" s="5"/>
      <c r="V178" s="5"/>
      <c r="W178" s="5"/>
      <c r="X178" s="5"/>
      <c r="Y178" s="5"/>
      <c r="Z178" s="5"/>
    </row>
    <row r="179" ht="15.75" customHeight="1">
      <c r="A179" s="5"/>
      <c r="B179" s="127">
        <v>46167.0</v>
      </c>
      <c r="C179" s="128">
        <v>13959.0</v>
      </c>
      <c r="D179" s="128">
        <v>370.0</v>
      </c>
      <c r="E179" s="140">
        <v>3935520.0</v>
      </c>
      <c r="F179" s="128" t="s">
        <v>191</v>
      </c>
      <c r="G179" s="128" t="s">
        <v>53</v>
      </c>
      <c r="H179" s="119"/>
      <c r="I179" s="5"/>
      <c r="J179" s="5"/>
      <c r="K179" s="5"/>
      <c r="L179" s="5"/>
      <c r="M179" s="5"/>
      <c r="N179" s="5"/>
      <c r="O179" s="5"/>
      <c r="P179" s="5"/>
      <c r="Q179" s="5"/>
      <c r="R179" s="5"/>
      <c r="S179" s="5"/>
      <c r="T179" s="5"/>
      <c r="U179" s="5"/>
      <c r="V179" s="5"/>
      <c r="W179" s="5"/>
      <c r="X179" s="5"/>
      <c r="Y179" s="5"/>
      <c r="Z179" s="5"/>
    </row>
    <row r="180" ht="15.75" customHeight="1">
      <c r="A180" s="5"/>
      <c r="B180" s="119"/>
      <c r="C180" s="131"/>
      <c r="D180" s="129"/>
      <c r="E180" s="119"/>
      <c r="F180" s="129"/>
      <c r="G180" s="119"/>
      <c r="H180" s="119"/>
      <c r="I180" s="5"/>
      <c r="J180" s="5"/>
      <c r="K180" s="5"/>
      <c r="L180" s="5"/>
      <c r="M180" s="5"/>
      <c r="N180" s="5"/>
      <c r="O180" s="5"/>
      <c r="P180" s="5"/>
      <c r="Q180" s="5"/>
      <c r="R180" s="5"/>
      <c r="S180" s="5"/>
      <c r="T180" s="5"/>
      <c r="U180" s="5"/>
      <c r="V180" s="5"/>
      <c r="W180" s="5"/>
      <c r="X180" s="5"/>
      <c r="Y180" s="5"/>
      <c r="Z180" s="5"/>
    </row>
    <row r="181" ht="15.75" customHeight="1">
      <c r="A181" s="5"/>
      <c r="B181" s="119"/>
      <c r="C181" s="131"/>
      <c r="D181" s="129"/>
      <c r="E181" s="119"/>
      <c r="F181" s="129"/>
      <c r="G181" s="119"/>
      <c r="H181" s="119"/>
      <c r="I181" s="5"/>
      <c r="J181" s="5"/>
      <c r="K181" s="5"/>
      <c r="L181" s="5"/>
      <c r="M181" s="5"/>
      <c r="N181" s="5"/>
      <c r="O181" s="5"/>
      <c r="P181" s="5"/>
      <c r="Q181" s="5"/>
      <c r="R181" s="5"/>
      <c r="S181" s="5"/>
      <c r="T181" s="5"/>
      <c r="U181" s="5"/>
      <c r="V181" s="5"/>
      <c r="W181" s="5"/>
      <c r="X181" s="5"/>
      <c r="Y181" s="5"/>
      <c r="Z181" s="5"/>
    </row>
    <row r="182" ht="15.75" customHeight="1">
      <c r="A182" s="5"/>
      <c r="B182" s="119"/>
      <c r="C182" s="131"/>
      <c r="D182" s="129"/>
      <c r="E182" s="119"/>
      <c r="F182" s="129"/>
      <c r="G182" s="119"/>
      <c r="H182" s="119"/>
      <c r="I182" s="5"/>
      <c r="J182" s="5"/>
      <c r="K182" s="5"/>
      <c r="L182" s="5"/>
      <c r="M182" s="5"/>
      <c r="N182" s="5"/>
      <c r="O182" s="5"/>
      <c r="P182" s="5"/>
      <c r="Q182" s="5"/>
      <c r="R182" s="5"/>
      <c r="S182" s="5"/>
      <c r="T182" s="5"/>
      <c r="U182" s="5"/>
      <c r="V182" s="5"/>
      <c r="W182" s="5"/>
      <c r="X182" s="5"/>
      <c r="Y182" s="5"/>
      <c r="Z182" s="5"/>
    </row>
    <row r="183" ht="15.75" customHeight="1">
      <c r="A183" s="5"/>
      <c r="B183" s="119"/>
      <c r="C183" s="131"/>
      <c r="D183" s="129"/>
      <c r="E183" s="119"/>
      <c r="F183" s="129"/>
      <c r="G183" s="119"/>
      <c r="H183" s="119"/>
      <c r="I183" s="5"/>
      <c r="J183" s="5"/>
      <c r="K183" s="5"/>
      <c r="L183" s="5"/>
      <c r="M183" s="5"/>
      <c r="N183" s="5"/>
      <c r="O183" s="5"/>
      <c r="P183" s="5"/>
      <c r="Q183" s="5"/>
      <c r="R183" s="5"/>
      <c r="S183" s="5"/>
      <c r="T183" s="5"/>
      <c r="U183" s="5"/>
      <c r="V183" s="5"/>
      <c r="W183" s="5"/>
      <c r="X183" s="5"/>
      <c r="Y183" s="5"/>
      <c r="Z183" s="5"/>
    </row>
    <row r="184" ht="15.75" customHeight="1">
      <c r="A184" s="5"/>
      <c r="B184" s="5"/>
      <c r="C184" s="133"/>
      <c r="D184" s="134"/>
      <c r="E184" s="5"/>
      <c r="F184" s="134"/>
      <c r="G184" s="5"/>
      <c r="H184" s="5"/>
      <c r="I184" s="5"/>
      <c r="J184" s="5"/>
      <c r="K184" s="5"/>
      <c r="L184" s="5"/>
      <c r="M184" s="5"/>
      <c r="N184" s="5"/>
      <c r="O184" s="5"/>
      <c r="P184" s="5"/>
      <c r="Q184" s="5"/>
      <c r="R184" s="5"/>
      <c r="S184" s="5"/>
      <c r="T184" s="5"/>
      <c r="U184" s="5"/>
      <c r="V184" s="5"/>
      <c r="W184" s="5"/>
      <c r="X184" s="5"/>
      <c r="Y184" s="5"/>
      <c r="Z184" s="5"/>
    </row>
    <row r="185" ht="25.5" customHeight="1">
      <c r="A185" s="5"/>
      <c r="B185" s="125" t="s">
        <v>201</v>
      </c>
      <c r="I185" s="5"/>
      <c r="J185" s="5"/>
      <c r="K185" s="5"/>
      <c r="L185" s="5"/>
      <c r="M185" s="5"/>
      <c r="N185" s="5"/>
      <c r="O185" s="5"/>
      <c r="P185" s="5"/>
      <c r="Q185" s="5"/>
      <c r="R185" s="5"/>
      <c r="S185" s="5"/>
      <c r="T185" s="5"/>
      <c r="U185" s="5"/>
      <c r="V185" s="5"/>
      <c r="W185" s="5"/>
      <c r="X185" s="5"/>
      <c r="Y185" s="5"/>
      <c r="Z185" s="5"/>
    </row>
    <row r="186" ht="15.75" customHeight="1">
      <c r="A186" s="5"/>
      <c r="B186" s="126" t="s">
        <v>127</v>
      </c>
      <c r="C186" s="126" t="s">
        <v>128</v>
      </c>
      <c r="D186" s="126" t="s">
        <v>129</v>
      </c>
      <c r="E186" s="126" t="s">
        <v>130</v>
      </c>
      <c r="F186" s="126" t="s">
        <v>131</v>
      </c>
      <c r="G186" s="126" t="s">
        <v>50</v>
      </c>
      <c r="H186" s="126" t="s">
        <v>19</v>
      </c>
      <c r="I186" s="5"/>
      <c r="J186" s="5"/>
      <c r="K186" s="5"/>
      <c r="L186" s="5"/>
      <c r="M186" s="5"/>
      <c r="N186" s="5"/>
      <c r="O186" s="5"/>
      <c r="P186" s="5"/>
      <c r="Q186" s="5"/>
      <c r="R186" s="5"/>
      <c r="S186" s="5"/>
      <c r="T186" s="5"/>
      <c r="U186" s="5"/>
      <c r="V186" s="5"/>
      <c r="W186" s="5"/>
      <c r="X186" s="5"/>
      <c r="Y186" s="5"/>
      <c r="Z186" s="5"/>
    </row>
    <row r="187" ht="15.75" customHeight="1">
      <c r="A187" s="5"/>
      <c r="B187" s="127">
        <v>46227.0</v>
      </c>
      <c r="C187" s="128">
        <v>21155.0</v>
      </c>
      <c r="D187" s="128">
        <v>391.0</v>
      </c>
      <c r="E187" s="128">
        <v>4114800.0</v>
      </c>
      <c r="F187" s="128" t="s">
        <v>191</v>
      </c>
      <c r="G187" s="128" t="s">
        <v>53</v>
      </c>
      <c r="H187" s="119"/>
      <c r="I187" s="5"/>
      <c r="J187" s="5"/>
      <c r="K187" s="5"/>
      <c r="L187" s="5"/>
      <c r="M187" s="5"/>
      <c r="N187" s="5"/>
      <c r="O187" s="5"/>
      <c r="P187" s="5"/>
      <c r="Q187" s="5"/>
      <c r="R187" s="5"/>
      <c r="S187" s="5"/>
      <c r="T187" s="5"/>
      <c r="U187" s="5"/>
      <c r="V187" s="5"/>
      <c r="W187" s="5"/>
      <c r="X187" s="5"/>
      <c r="Y187" s="5"/>
      <c r="Z187" s="5"/>
    </row>
    <row r="188" ht="15.75" customHeight="1">
      <c r="A188" s="5"/>
      <c r="B188" s="119"/>
      <c r="C188" s="131"/>
      <c r="D188" s="129"/>
      <c r="E188" s="119"/>
      <c r="F188" s="129"/>
      <c r="G188" s="119"/>
      <c r="H188" s="119"/>
      <c r="I188" s="5"/>
      <c r="J188" s="5"/>
      <c r="K188" s="5"/>
      <c r="L188" s="5"/>
      <c r="M188" s="5"/>
      <c r="N188" s="5"/>
      <c r="O188" s="5"/>
      <c r="P188" s="5"/>
      <c r="Q188" s="5"/>
      <c r="R188" s="5"/>
      <c r="S188" s="5"/>
      <c r="T188" s="5"/>
      <c r="U188" s="5"/>
      <c r="V188" s="5"/>
      <c r="W188" s="5"/>
      <c r="X188" s="5"/>
      <c r="Y188" s="5"/>
      <c r="Z188" s="5"/>
    </row>
    <row r="189" ht="15.75" customHeight="1">
      <c r="A189" s="5"/>
      <c r="B189" s="119"/>
      <c r="C189" s="131"/>
      <c r="D189" s="129"/>
      <c r="E189" s="119"/>
      <c r="F189" s="129"/>
      <c r="G189" s="119"/>
      <c r="H189" s="119"/>
      <c r="I189" s="5"/>
      <c r="J189" s="5"/>
      <c r="K189" s="5"/>
      <c r="L189" s="5"/>
      <c r="M189" s="5"/>
      <c r="N189" s="5"/>
      <c r="O189" s="5"/>
      <c r="P189" s="5"/>
      <c r="Q189" s="5"/>
      <c r="R189" s="5"/>
      <c r="S189" s="5"/>
      <c r="T189" s="5"/>
      <c r="U189" s="5"/>
      <c r="V189" s="5"/>
      <c r="W189" s="5"/>
      <c r="X189" s="5"/>
      <c r="Y189" s="5"/>
      <c r="Z189" s="5"/>
    </row>
    <row r="190" ht="15.75" customHeight="1">
      <c r="A190" s="5"/>
      <c r="B190" s="119"/>
      <c r="C190" s="131"/>
      <c r="D190" s="129"/>
      <c r="E190" s="119"/>
      <c r="F190" s="129"/>
      <c r="G190" s="119"/>
      <c r="H190" s="119"/>
      <c r="I190" s="5"/>
      <c r="J190" s="5"/>
      <c r="K190" s="5"/>
      <c r="L190" s="5"/>
      <c r="M190" s="5"/>
      <c r="N190" s="5"/>
      <c r="O190" s="5"/>
      <c r="P190" s="5"/>
      <c r="Q190" s="5"/>
      <c r="R190" s="5"/>
      <c r="S190" s="5"/>
      <c r="T190" s="5"/>
      <c r="U190" s="5"/>
      <c r="V190" s="5"/>
      <c r="W190" s="5"/>
      <c r="X190" s="5"/>
      <c r="Y190" s="5"/>
      <c r="Z190" s="5"/>
    </row>
    <row r="191" ht="15.75" customHeight="1">
      <c r="A191" s="5"/>
      <c r="B191" s="119"/>
      <c r="C191" s="131"/>
      <c r="D191" s="129"/>
      <c r="E191" s="119"/>
      <c r="F191" s="129"/>
      <c r="G191" s="119"/>
      <c r="H191" s="119"/>
      <c r="I191" s="5"/>
      <c r="J191" s="5"/>
      <c r="K191" s="5"/>
      <c r="L191" s="5"/>
      <c r="M191" s="5"/>
      <c r="N191" s="5"/>
      <c r="O191" s="5"/>
      <c r="P191" s="5"/>
      <c r="Q191" s="5"/>
      <c r="R191" s="5"/>
      <c r="S191" s="5"/>
      <c r="T191" s="5"/>
      <c r="U191" s="5"/>
      <c r="V191" s="5"/>
      <c r="W191" s="5"/>
      <c r="X191" s="5"/>
      <c r="Y191" s="5"/>
      <c r="Z191" s="5"/>
    </row>
    <row r="192" ht="15.75" customHeight="1">
      <c r="A192" s="5"/>
      <c r="B192" s="5"/>
      <c r="C192" s="133"/>
      <c r="D192" s="134"/>
      <c r="E192" s="5"/>
      <c r="F192" s="134"/>
      <c r="G192" s="5"/>
      <c r="H192" s="5"/>
      <c r="I192" s="5"/>
      <c r="J192" s="5"/>
      <c r="K192" s="5"/>
      <c r="L192" s="5"/>
      <c r="M192" s="5"/>
      <c r="N192" s="5"/>
      <c r="O192" s="5"/>
      <c r="P192" s="5"/>
      <c r="Q192" s="5"/>
      <c r="R192" s="5"/>
      <c r="S192" s="5"/>
      <c r="T192" s="5"/>
      <c r="U192" s="5"/>
      <c r="V192" s="5"/>
      <c r="W192" s="5"/>
      <c r="X192" s="5"/>
      <c r="Y192" s="5"/>
      <c r="Z192" s="5"/>
    </row>
    <row r="193" ht="24.75" customHeight="1">
      <c r="A193" s="5"/>
      <c r="B193" s="125" t="s">
        <v>205</v>
      </c>
      <c r="I193" s="5"/>
      <c r="J193" s="5"/>
      <c r="K193" s="5"/>
      <c r="L193" s="5"/>
      <c r="M193" s="5"/>
      <c r="N193" s="5"/>
      <c r="O193" s="5"/>
      <c r="P193" s="5"/>
      <c r="Q193" s="5"/>
      <c r="R193" s="5"/>
      <c r="S193" s="5"/>
      <c r="T193" s="5"/>
      <c r="U193" s="5"/>
      <c r="V193" s="5"/>
      <c r="W193" s="5"/>
      <c r="X193" s="5"/>
      <c r="Y193" s="5"/>
      <c r="Z193" s="5"/>
    </row>
    <row r="194" ht="15.75" customHeight="1">
      <c r="A194" s="5"/>
      <c r="B194" s="126" t="s">
        <v>127</v>
      </c>
      <c r="C194" s="126" t="s">
        <v>128</v>
      </c>
      <c r="D194" s="126" t="s">
        <v>129</v>
      </c>
      <c r="E194" s="126" t="s">
        <v>130</v>
      </c>
      <c r="F194" s="126" t="s">
        <v>131</v>
      </c>
      <c r="G194" s="126" t="s">
        <v>50</v>
      </c>
      <c r="H194" s="126" t="s">
        <v>19</v>
      </c>
      <c r="I194" s="5"/>
      <c r="J194" s="5"/>
      <c r="K194" s="5"/>
      <c r="L194" s="5"/>
      <c r="M194" s="5"/>
      <c r="N194" s="5"/>
      <c r="O194" s="5"/>
      <c r="P194" s="5"/>
      <c r="Q194" s="5"/>
      <c r="R194" s="5"/>
      <c r="S194" s="5"/>
      <c r="T194" s="5"/>
      <c r="U194" s="5"/>
      <c r="V194" s="5"/>
      <c r="W194" s="5"/>
      <c r="X194" s="5"/>
      <c r="Y194" s="5"/>
      <c r="Z194" s="5"/>
    </row>
    <row r="195" ht="15.75" customHeight="1">
      <c r="A195" s="5"/>
      <c r="B195" s="127">
        <v>46213.0</v>
      </c>
      <c r="C195" s="128">
        <v>14903.0</v>
      </c>
      <c r="D195" s="129"/>
      <c r="E195" s="140">
        <v>1355000.0</v>
      </c>
      <c r="F195" s="128" t="s">
        <v>206</v>
      </c>
      <c r="G195" s="128" t="s">
        <v>53</v>
      </c>
      <c r="H195" s="119"/>
      <c r="I195" s="5"/>
      <c r="J195" s="5"/>
      <c r="K195" s="5"/>
      <c r="L195" s="5"/>
      <c r="M195" s="5"/>
      <c r="N195" s="5"/>
      <c r="O195" s="5"/>
      <c r="P195" s="5"/>
      <c r="Q195" s="5"/>
      <c r="R195" s="5"/>
      <c r="S195" s="5"/>
      <c r="T195" s="5"/>
      <c r="U195" s="5"/>
      <c r="V195" s="5"/>
      <c r="W195" s="5"/>
      <c r="X195" s="5"/>
      <c r="Y195" s="5"/>
      <c r="Z195" s="5"/>
    </row>
    <row r="196" ht="15.75" customHeight="1">
      <c r="A196" s="5"/>
      <c r="B196" s="119"/>
      <c r="C196" s="131"/>
      <c r="D196" s="129"/>
      <c r="E196" s="119"/>
      <c r="F196" s="129"/>
      <c r="G196" s="119"/>
      <c r="H196" s="119"/>
      <c r="I196" s="5"/>
      <c r="J196" s="5"/>
      <c r="K196" s="5"/>
      <c r="L196" s="5"/>
      <c r="M196" s="5"/>
      <c r="N196" s="5"/>
      <c r="O196" s="5"/>
      <c r="P196" s="5"/>
      <c r="Q196" s="5"/>
      <c r="R196" s="5"/>
      <c r="S196" s="5"/>
      <c r="T196" s="5"/>
      <c r="U196" s="5"/>
      <c r="V196" s="5"/>
      <c r="W196" s="5"/>
      <c r="X196" s="5"/>
      <c r="Y196" s="5"/>
      <c r="Z196" s="5"/>
    </row>
    <row r="197" ht="15.75" customHeight="1">
      <c r="A197" s="5"/>
      <c r="B197" s="119"/>
      <c r="C197" s="131"/>
      <c r="D197" s="129"/>
      <c r="E197" s="119"/>
      <c r="F197" s="129"/>
      <c r="G197" s="119"/>
      <c r="H197" s="119"/>
      <c r="I197" s="5"/>
      <c r="J197" s="5"/>
      <c r="K197" s="5"/>
      <c r="L197" s="5"/>
      <c r="M197" s="5"/>
      <c r="N197" s="5"/>
      <c r="O197" s="5"/>
      <c r="P197" s="5"/>
      <c r="Q197" s="5"/>
      <c r="R197" s="5"/>
      <c r="S197" s="5"/>
      <c r="T197" s="5"/>
      <c r="U197" s="5"/>
      <c r="V197" s="5"/>
      <c r="W197" s="5"/>
      <c r="X197" s="5"/>
      <c r="Y197" s="5"/>
      <c r="Z197" s="5"/>
    </row>
    <row r="198" ht="15.75" customHeight="1">
      <c r="A198" s="5"/>
      <c r="B198" s="119"/>
      <c r="C198" s="131"/>
      <c r="D198" s="129"/>
      <c r="E198" s="119"/>
      <c r="F198" s="129"/>
      <c r="G198" s="119"/>
      <c r="H198" s="119"/>
      <c r="I198" s="5"/>
      <c r="J198" s="5"/>
      <c r="K198" s="5"/>
      <c r="L198" s="5"/>
      <c r="M198" s="5"/>
      <c r="N198" s="5"/>
      <c r="O198" s="5"/>
      <c r="P198" s="5"/>
      <c r="Q198" s="5"/>
      <c r="R198" s="5"/>
      <c r="S198" s="5"/>
      <c r="T198" s="5"/>
      <c r="U198" s="5"/>
      <c r="V198" s="5"/>
      <c r="W198" s="5"/>
      <c r="X198" s="5"/>
      <c r="Y198" s="5"/>
      <c r="Z198" s="5"/>
    </row>
    <row r="199" ht="15.75" customHeight="1">
      <c r="A199" s="5"/>
      <c r="B199" s="119"/>
      <c r="C199" s="131"/>
      <c r="D199" s="129"/>
      <c r="E199" s="119"/>
      <c r="F199" s="129"/>
      <c r="G199" s="119"/>
      <c r="H199" s="119"/>
      <c r="I199" s="5"/>
      <c r="J199" s="5"/>
      <c r="K199" s="5"/>
      <c r="L199" s="5"/>
      <c r="M199" s="5"/>
      <c r="N199" s="5"/>
      <c r="O199" s="5"/>
      <c r="P199" s="5"/>
      <c r="Q199" s="5"/>
      <c r="R199" s="5"/>
      <c r="S199" s="5"/>
      <c r="T199" s="5"/>
      <c r="U199" s="5"/>
      <c r="V199" s="5"/>
      <c r="W199" s="5"/>
      <c r="X199" s="5"/>
      <c r="Y199" s="5"/>
      <c r="Z199" s="5"/>
    </row>
    <row r="200" ht="15.75" customHeight="1">
      <c r="A200" s="5"/>
      <c r="B200" s="5"/>
      <c r="C200" s="133"/>
      <c r="D200" s="134"/>
      <c r="E200" s="5"/>
      <c r="F200" s="134"/>
      <c r="G200" s="5"/>
      <c r="H200" s="5"/>
      <c r="I200" s="5"/>
      <c r="J200" s="5"/>
      <c r="K200" s="5"/>
      <c r="L200" s="5"/>
      <c r="M200" s="5"/>
      <c r="N200" s="5"/>
      <c r="O200" s="5"/>
      <c r="P200" s="5"/>
      <c r="Q200" s="5"/>
      <c r="R200" s="5"/>
      <c r="S200" s="5"/>
      <c r="T200" s="5"/>
      <c r="U200" s="5"/>
      <c r="V200" s="5"/>
      <c r="W200" s="5"/>
      <c r="X200" s="5"/>
      <c r="Y200" s="5"/>
      <c r="Z200" s="5"/>
    </row>
    <row r="201" ht="22.5" customHeight="1">
      <c r="A201" s="5"/>
      <c r="B201" s="125" t="s">
        <v>207</v>
      </c>
      <c r="I201" s="5"/>
      <c r="J201" s="5"/>
      <c r="K201" s="5"/>
      <c r="L201" s="5"/>
      <c r="M201" s="5"/>
      <c r="N201" s="5"/>
      <c r="O201" s="5"/>
      <c r="P201" s="5"/>
      <c r="Q201" s="5"/>
      <c r="R201" s="5"/>
      <c r="S201" s="5"/>
      <c r="T201" s="5"/>
      <c r="U201" s="5"/>
      <c r="V201" s="5"/>
      <c r="W201" s="5"/>
      <c r="X201" s="5"/>
      <c r="Y201" s="5"/>
      <c r="Z201" s="5"/>
    </row>
    <row r="202" ht="15.75" customHeight="1">
      <c r="A202" s="5"/>
      <c r="B202" s="126" t="s">
        <v>127</v>
      </c>
      <c r="C202" s="126" t="s">
        <v>128</v>
      </c>
      <c r="D202" s="126" t="s">
        <v>129</v>
      </c>
      <c r="E202" s="126" t="s">
        <v>130</v>
      </c>
      <c r="F202" s="126" t="s">
        <v>131</v>
      </c>
      <c r="G202" s="126" t="s">
        <v>50</v>
      </c>
      <c r="H202" s="126" t="s">
        <v>19</v>
      </c>
      <c r="I202" s="5"/>
      <c r="J202" s="5"/>
      <c r="K202" s="5"/>
      <c r="L202" s="5"/>
      <c r="M202" s="5"/>
      <c r="N202" s="5"/>
      <c r="O202" s="5"/>
      <c r="P202" s="5"/>
      <c r="Q202" s="5"/>
      <c r="R202" s="5"/>
      <c r="S202" s="5"/>
      <c r="T202" s="5"/>
      <c r="U202" s="5"/>
      <c r="V202" s="5"/>
      <c r="W202" s="5"/>
      <c r="X202" s="5"/>
      <c r="Y202" s="5"/>
      <c r="Z202" s="5"/>
    </row>
    <row r="203" ht="15.75" customHeight="1">
      <c r="A203" s="5"/>
      <c r="B203" s="127">
        <v>46188.0</v>
      </c>
      <c r="C203" s="128">
        <v>17814.0</v>
      </c>
      <c r="D203" s="128">
        <v>391.0</v>
      </c>
      <c r="E203" s="140">
        <v>1355036.0</v>
      </c>
      <c r="F203" s="128" t="s">
        <v>208</v>
      </c>
      <c r="G203" s="128" t="s">
        <v>53</v>
      </c>
      <c r="H203" s="119"/>
      <c r="I203" s="5"/>
      <c r="J203" s="5"/>
      <c r="K203" s="5"/>
      <c r="L203" s="5"/>
      <c r="M203" s="5"/>
      <c r="N203" s="5"/>
      <c r="O203" s="5"/>
      <c r="P203" s="5"/>
      <c r="Q203" s="5"/>
      <c r="R203" s="5"/>
      <c r="S203" s="5"/>
      <c r="T203" s="5"/>
      <c r="U203" s="5"/>
      <c r="V203" s="5"/>
      <c r="W203" s="5"/>
      <c r="X203" s="5"/>
      <c r="Y203" s="5"/>
      <c r="Z203" s="5"/>
    </row>
    <row r="204" ht="15.75" customHeight="1">
      <c r="A204" s="5"/>
      <c r="B204" s="119"/>
      <c r="C204" s="131"/>
      <c r="D204" s="129"/>
      <c r="E204" s="119"/>
      <c r="F204" s="129"/>
      <c r="G204" s="119"/>
      <c r="H204" s="119"/>
      <c r="I204" s="5"/>
      <c r="J204" s="5"/>
      <c r="K204" s="5"/>
      <c r="L204" s="5"/>
      <c r="M204" s="5"/>
      <c r="N204" s="5"/>
      <c r="O204" s="5"/>
      <c r="P204" s="5"/>
      <c r="Q204" s="5"/>
      <c r="R204" s="5"/>
      <c r="S204" s="5"/>
      <c r="T204" s="5"/>
      <c r="U204" s="5"/>
      <c r="V204" s="5"/>
      <c r="W204" s="5"/>
      <c r="X204" s="5"/>
      <c r="Y204" s="5"/>
      <c r="Z204" s="5"/>
    </row>
    <row r="205" ht="15.75" customHeight="1">
      <c r="A205" s="5"/>
      <c r="B205" s="119"/>
      <c r="C205" s="131"/>
      <c r="D205" s="129"/>
      <c r="E205" s="119"/>
      <c r="F205" s="129"/>
      <c r="G205" s="119"/>
      <c r="H205" s="119"/>
      <c r="I205" s="5"/>
      <c r="J205" s="5"/>
      <c r="K205" s="5"/>
      <c r="L205" s="5"/>
      <c r="M205" s="5"/>
      <c r="N205" s="5"/>
      <c r="O205" s="5"/>
      <c r="P205" s="5"/>
      <c r="Q205" s="5"/>
      <c r="R205" s="5"/>
      <c r="S205" s="5"/>
      <c r="T205" s="5"/>
      <c r="U205" s="5"/>
      <c r="V205" s="5"/>
      <c r="W205" s="5"/>
      <c r="X205" s="5"/>
      <c r="Y205" s="5"/>
      <c r="Z205" s="5"/>
    </row>
    <row r="206" ht="15.75" customHeight="1">
      <c r="A206" s="5"/>
      <c r="B206" s="119"/>
      <c r="C206" s="131"/>
      <c r="D206" s="129"/>
      <c r="E206" s="119"/>
      <c r="F206" s="129"/>
      <c r="G206" s="119"/>
      <c r="H206" s="119"/>
      <c r="I206" s="5"/>
      <c r="J206" s="5"/>
      <c r="K206" s="5"/>
      <c r="L206" s="5"/>
      <c r="M206" s="5"/>
      <c r="N206" s="5"/>
      <c r="O206" s="5"/>
      <c r="P206" s="5"/>
      <c r="Q206" s="5"/>
      <c r="R206" s="5"/>
      <c r="S206" s="5"/>
      <c r="T206" s="5"/>
      <c r="U206" s="5"/>
      <c r="V206" s="5"/>
      <c r="W206" s="5"/>
      <c r="X206" s="5"/>
      <c r="Y206" s="5"/>
      <c r="Z206" s="5"/>
    </row>
    <row r="207" ht="15.75" customHeight="1">
      <c r="A207" s="5"/>
      <c r="B207" s="119"/>
      <c r="C207" s="131"/>
      <c r="D207" s="129"/>
      <c r="E207" s="119"/>
      <c r="F207" s="129"/>
      <c r="G207" s="119"/>
      <c r="H207" s="119"/>
      <c r="I207" s="5"/>
      <c r="J207" s="5"/>
      <c r="K207" s="5"/>
      <c r="L207" s="5"/>
      <c r="M207" s="5"/>
      <c r="N207" s="5"/>
      <c r="O207" s="5"/>
      <c r="P207" s="5"/>
      <c r="Q207" s="5"/>
      <c r="R207" s="5"/>
      <c r="S207" s="5"/>
      <c r="T207" s="5"/>
      <c r="U207" s="5"/>
      <c r="V207" s="5"/>
      <c r="W207" s="5"/>
      <c r="X207" s="5"/>
      <c r="Y207" s="5"/>
      <c r="Z207" s="5"/>
    </row>
    <row r="208" ht="15.75" customHeight="1">
      <c r="A208" s="5"/>
      <c r="B208" s="5"/>
      <c r="C208" s="133"/>
      <c r="D208" s="134"/>
      <c r="E208" s="5"/>
      <c r="F208" s="134"/>
      <c r="G208" s="5"/>
      <c r="H208" s="5"/>
      <c r="I208" s="5"/>
      <c r="J208" s="5"/>
      <c r="K208" s="5"/>
      <c r="L208" s="5"/>
      <c r="M208" s="5"/>
      <c r="N208" s="5"/>
      <c r="O208" s="5"/>
      <c r="P208" s="5"/>
      <c r="Q208" s="5"/>
      <c r="R208" s="5"/>
      <c r="S208" s="5"/>
      <c r="T208" s="5"/>
      <c r="U208" s="5"/>
      <c r="V208" s="5"/>
      <c r="W208" s="5"/>
      <c r="X208" s="5"/>
      <c r="Y208" s="5"/>
      <c r="Z208" s="5"/>
    </row>
    <row r="209" ht="21.0" customHeight="1">
      <c r="A209" s="5"/>
      <c r="B209" s="125" t="s">
        <v>209</v>
      </c>
      <c r="I209" s="5"/>
      <c r="J209" s="5"/>
      <c r="K209" s="5"/>
      <c r="L209" s="5"/>
      <c r="M209" s="5"/>
      <c r="N209" s="5"/>
      <c r="O209" s="5"/>
      <c r="P209" s="5"/>
      <c r="Q209" s="5"/>
      <c r="R209" s="5"/>
      <c r="S209" s="5"/>
      <c r="T209" s="5"/>
      <c r="U209" s="5"/>
      <c r="V209" s="5"/>
      <c r="W209" s="5"/>
      <c r="X209" s="5"/>
      <c r="Y209" s="5"/>
      <c r="Z209" s="5"/>
    </row>
    <row r="210" ht="15.75" customHeight="1">
      <c r="A210" s="5"/>
      <c r="B210" s="126" t="s">
        <v>127</v>
      </c>
      <c r="C210" s="126" t="s">
        <v>128</v>
      </c>
      <c r="D210" s="126" t="s">
        <v>129</v>
      </c>
      <c r="E210" s="126" t="s">
        <v>130</v>
      </c>
      <c r="F210" s="126" t="s">
        <v>131</v>
      </c>
      <c r="G210" s="126" t="s">
        <v>50</v>
      </c>
      <c r="H210" s="126" t="s">
        <v>19</v>
      </c>
      <c r="I210" s="5"/>
      <c r="J210" s="5"/>
      <c r="K210" s="5"/>
      <c r="L210" s="5"/>
      <c r="M210" s="5"/>
      <c r="N210" s="5"/>
      <c r="O210" s="5"/>
      <c r="P210" s="5"/>
      <c r="Q210" s="5"/>
      <c r="R210" s="5"/>
      <c r="S210" s="5"/>
      <c r="T210" s="5"/>
      <c r="U210" s="5"/>
      <c r="V210" s="5"/>
      <c r="W210" s="5"/>
      <c r="X210" s="5"/>
      <c r="Y210" s="5"/>
      <c r="Z210" s="5"/>
    </row>
    <row r="211" ht="15.75" customHeight="1">
      <c r="A211" s="5"/>
      <c r="B211" s="119"/>
      <c r="C211" s="131"/>
      <c r="D211" s="129"/>
      <c r="E211" s="119"/>
      <c r="F211" s="129"/>
      <c r="G211" s="119"/>
      <c r="H211" s="119"/>
      <c r="I211" s="5"/>
      <c r="J211" s="5"/>
      <c r="K211" s="5"/>
      <c r="L211" s="5"/>
      <c r="M211" s="5"/>
      <c r="N211" s="5"/>
      <c r="O211" s="5"/>
      <c r="P211" s="5"/>
      <c r="Q211" s="5"/>
      <c r="R211" s="5"/>
      <c r="S211" s="5"/>
      <c r="T211" s="5"/>
      <c r="U211" s="5"/>
      <c r="V211" s="5"/>
      <c r="W211" s="5"/>
      <c r="X211" s="5"/>
      <c r="Y211" s="5"/>
      <c r="Z211" s="5"/>
    </row>
    <row r="212" ht="15.75" customHeight="1">
      <c r="A212" s="5"/>
      <c r="B212" s="119"/>
      <c r="C212" s="131"/>
      <c r="D212" s="129"/>
      <c r="E212" s="119"/>
      <c r="F212" s="129"/>
      <c r="G212" s="119"/>
      <c r="H212" s="119"/>
      <c r="I212" s="5"/>
      <c r="J212" s="5"/>
      <c r="K212" s="5"/>
      <c r="L212" s="5"/>
      <c r="M212" s="5"/>
      <c r="N212" s="5"/>
      <c r="O212" s="5"/>
      <c r="P212" s="5"/>
      <c r="Q212" s="5"/>
      <c r="R212" s="5"/>
      <c r="S212" s="5"/>
      <c r="T212" s="5"/>
      <c r="U212" s="5"/>
      <c r="V212" s="5"/>
      <c r="W212" s="5"/>
      <c r="X212" s="5"/>
      <c r="Y212" s="5"/>
      <c r="Z212" s="5"/>
    </row>
    <row r="213" ht="15.75" customHeight="1">
      <c r="A213" s="5"/>
      <c r="B213" s="119"/>
      <c r="C213" s="131"/>
      <c r="D213" s="129"/>
      <c r="E213" s="119"/>
      <c r="F213" s="129"/>
      <c r="G213" s="119"/>
      <c r="H213" s="119"/>
      <c r="I213" s="5"/>
      <c r="J213" s="5"/>
      <c r="K213" s="5"/>
      <c r="L213" s="5"/>
      <c r="M213" s="5"/>
      <c r="N213" s="5"/>
      <c r="O213" s="5"/>
      <c r="P213" s="5"/>
      <c r="Q213" s="5"/>
      <c r="R213" s="5"/>
      <c r="S213" s="5"/>
      <c r="T213" s="5"/>
      <c r="U213" s="5"/>
      <c r="V213" s="5"/>
      <c r="W213" s="5"/>
      <c r="X213" s="5"/>
      <c r="Y213" s="5"/>
      <c r="Z213" s="5"/>
    </row>
    <row r="214" ht="15.75" customHeight="1">
      <c r="A214" s="5"/>
      <c r="B214" s="119"/>
      <c r="C214" s="131"/>
      <c r="D214" s="129"/>
      <c r="E214" s="119"/>
      <c r="F214" s="129"/>
      <c r="G214" s="119"/>
      <c r="H214" s="119"/>
      <c r="I214" s="5"/>
      <c r="J214" s="5"/>
      <c r="K214" s="5"/>
      <c r="L214" s="5"/>
      <c r="M214" s="5"/>
      <c r="N214" s="5"/>
      <c r="O214" s="5"/>
      <c r="P214" s="5"/>
      <c r="Q214" s="5"/>
      <c r="R214" s="5"/>
      <c r="S214" s="5"/>
      <c r="T214" s="5"/>
      <c r="U214" s="5"/>
      <c r="V214" s="5"/>
      <c r="W214" s="5"/>
      <c r="X214" s="5"/>
      <c r="Y214" s="5"/>
      <c r="Z214" s="5"/>
    </row>
    <row r="215" ht="15.75" customHeight="1">
      <c r="A215" s="5"/>
      <c r="B215" s="119"/>
      <c r="C215" s="131"/>
      <c r="D215" s="129"/>
      <c r="E215" s="119"/>
      <c r="F215" s="129"/>
      <c r="G215" s="119"/>
      <c r="H215" s="119"/>
      <c r="I215" s="5"/>
      <c r="J215" s="5"/>
      <c r="K215" s="5"/>
      <c r="L215" s="5"/>
      <c r="M215" s="5"/>
      <c r="N215" s="5"/>
      <c r="O215" s="5"/>
      <c r="P215" s="5"/>
      <c r="Q215" s="5"/>
      <c r="R215" s="5"/>
      <c r="S215" s="5"/>
      <c r="T215" s="5"/>
      <c r="U215" s="5"/>
      <c r="V215" s="5"/>
      <c r="W215" s="5"/>
      <c r="X215" s="5"/>
      <c r="Y215" s="5"/>
      <c r="Z215" s="5"/>
    </row>
    <row r="216" ht="15.75" customHeight="1">
      <c r="A216" s="5"/>
      <c r="B216" s="125" t="s">
        <v>215</v>
      </c>
      <c r="I216" s="5"/>
      <c r="J216" s="5"/>
      <c r="K216" s="5"/>
      <c r="L216" s="5"/>
      <c r="M216" s="5"/>
      <c r="N216" s="5"/>
      <c r="O216" s="5"/>
      <c r="P216" s="5"/>
      <c r="Q216" s="5"/>
      <c r="R216" s="5"/>
      <c r="S216" s="5"/>
      <c r="T216" s="5"/>
      <c r="U216" s="5"/>
      <c r="V216" s="5"/>
      <c r="W216" s="5"/>
      <c r="X216" s="5"/>
      <c r="Y216" s="5"/>
      <c r="Z216" s="5"/>
    </row>
    <row r="217" ht="15.75" customHeight="1">
      <c r="A217" s="5"/>
      <c r="B217" s="126" t="s">
        <v>127</v>
      </c>
      <c r="C217" s="126" t="s">
        <v>128</v>
      </c>
      <c r="D217" s="126" t="s">
        <v>129</v>
      </c>
      <c r="E217" s="126" t="s">
        <v>130</v>
      </c>
      <c r="F217" s="126" t="s">
        <v>131</v>
      </c>
      <c r="G217" s="126" t="s">
        <v>50</v>
      </c>
      <c r="H217" s="126" t="s">
        <v>19</v>
      </c>
      <c r="I217" s="5"/>
      <c r="J217" s="5"/>
      <c r="K217" s="5"/>
      <c r="L217" s="5"/>
      <c r="M217" s="5"/>
      <c r="N217" s="5"/>
      <c r="O217" s="5"/>
      <c r="P217" s="5"/>
      <c r="Q217" s="5"/>
      <c r="R217" s="5"/>
      <c r="S217" s="5"/>
      <c r="T217" s="5"/>
      <c r="U217" s="5"/>
      <c r="V217" s="5"/>
      <c r="W217" s="5"/>
      <c r="X217" s="5"/>
      <c r="Y217" s="5"/>
      <c r="Z217" s="5"/>
    </row>
    <row r="218" ht="15.75" customHeight="1">
      <c r="A218" s="5"/>
      <c r="B218" s="119"/>
      <c r="C218" s="131"/>
      <c r="D218" s="129"/>
      <c r="E218" s="119"/>
      <c r="F218" s="129"/>
      <c r="G218" s="119"/>
      <c r="H218" s="119"/>
      <c r="I218" s="5"/>
      <c r="J218" s="5"/>
      <c r="K218" s="5"/>
      <c r="L218" s="5"/>
      <c r="M218" s="5"/>
      <c r="N218" s="5"/>
      <c r="O218" s="5"/>
      <c r="P218" s="5"/>
      <c r="Q218" s="5"/>
      <c r="R218" s="5"/>
      <c r="S218" s="5"/>
      <c r="T218" s="5"/>
      <c r="U218" s="5"/>
      <c r="V218" s="5"/>
      <c r="W218" s="5"/>
      <c r="X218" s="5"/>
      <c r="Y218" s="5"/>
      <c r="Z218" s="5"/>
    </row>
    <row r="219" ht="15.75" customHeight="1">
      <c r="A219" s="5"/>
      <c r="B219" s="119"/>
      <c r="C219" s="131"/>
      <c r="D219" s="129"/>
      <c r="E219" s="119"/>
      <c r="F219" s="129"/>
      <c r="G219" s="119"/>
      <c r="H219" s="119"/>
      <c r="I219" s="5"/>
      <c r="J219" s="5"/>
      <c r="K219" s="5"/>
      <c r="L219" s="5"/>
      <c r="M219" s="5"/>
      <c r="N219" s="5"/>
      <c r="O219" s="5"/>
      <c r="P219" s="5"/>
      <c r="Q219" s="5"/>
      <c r="R219" s="5"/>
      <c r="S219" s="5"/>
      <c r="T219" s="5"/>
      <c r="U219" s="5"/>
      <c r="V219" s="5"/>
      <c r="W219" s="5"/>
      <c r="X219" s="5"/>
      <c r="Y219" s="5"/>
      <c r="Z219" s="5"/>
    </row>
    <row r="220" ht="15.75" customHeight="1">
      <c r="A220" s="5"/>
      <c r="B220" s="119"/>
      <c r="C220" s="131"/>
      <c r="D220" s="129"/>
      <c r="E220" s="119"/>
      <c r="F220" s="129"/>
      <c r="G220" s="119"/>
      <c r="H220" s="119"/>
      <c r="I220" s="5"/>
      <c r="J220" s="5"/>
      <c r="K220" s="5"/>
      <c r="L220" s="5"/>
      <c r="M220" s="5"/>
      <c r="N220" s="5"/>
      <c r="O220" s="5"/>
      <c r="P220" s="5"/>
      <c r="Q220" s="5"/>
      <c r="R220" s="5"/>
      <c r="S220" s="5"/>
      <c r="T220" s="5"/>
      <c r="U220" s="5"/>
      <c r="V220" s="5"/>
      <c r="W220" s="5"/>
      <c r="X220" s="5"/>
      <c r="Y220" s="5"/>
      <c r="Z220" s="5"/>
    </row>
    <row r="221" ht="15.75" customHeight="1">
      <c r="A221" s="5"/>
      <c r="B221" s="119"/>
      <c r="C221" s="131"/>
      <c r="D221" s="129"/>
      <c r="E221" s="119"/>
      <c r="F221" s="129"/>
      <c r="G221" s="119"/>
      <c r="H221" s="119"/>
      <c r="I221" s="5"/>
      <c r="J221" s="5"/>
      <c r="K221" s="5"/>
      <c r="L221" s="5"/>
      <c r="M221" s="5"/>
      <c r="N221" s="5"/>
      <c r="O221" s="5"/>
      <c r="P221" s="5"/>
      <c r="Q221" s="5"/>
      <c r="R221" s="5"/>
      <c r="S221" s="5"/>
      <c r="T221" s="5"/>
      <c r="U221" s="5"/>
      <c r="V221" s="5"/>
      <c r="W221" s="5"/>
      <c r="X221" s="5"/>
      <c r="Y221" s="5"/>
      <c r="Z221" s="5"/>
    </row>
    <row r="222" ht="15.75" customHeight="1">
      <c r="A222" s="5"/>
      <c r="B222" s="119"/>
      <c r="C222" s="131"/>
      <c r="D222" s="129"/>
      <c r="E222" s="119"/>
      <c r="F222" s="129"/>
      <c r="G222" s="119"/>
      <c r="H222" s="119"/>
      <c r="I222" s="5"/>
      <c r="J222" s="5"/>
      <c r="K222" s="5"/>
      <c r="L222" s="5"/>
      <c r="M222" s="5"/>
      <c r="N222" s="5"/>
      <c r="O222" s="5"/>
      <c r="P222" s="5"/>
      <c r="Q222" s="5"/>
      <c r="R222" s="5"/>
      <c r="S222" s="5"/>
      <c r="T222" s="5"/>
      <c r="U222" s="5"/>
      <c r="V222" s="5"/>
      <c r="W222" s="5"/>
      <c r="X222" s="5"/>
      <c r="Y222" s="5"/>
      <c r="Z222" s="5"/>
    </row>
    <row r="223" ht="15.75" customHeight="1">
      <c r="A223" s="5"/>
      <c r="B223" s="5"/>
      <c r="C223" s="133"/>
      <c r="D223" s="134"/>
      <c r="E223" s="5"/>
      <c r="F223" s="134"/>
      <c r="G223" s="5"/>
      <c r="H223" s="5"/>
      <c r="I223" s="5"/>
      <c r="J223" s="5"/>
      <c r="K223" s="5"/>
      <c r="L223" s="5"/>
      <c r="M223" s="5"/>
      <c r="N223" s="5"/>
      <c r="O223" s="5"/>
      <c r="P223" s="5"/>
      <c r="Q223" s="5"/>
      <c r="R223" s="5"/>
      <c r="S223" s="5"/>
      <c r="T223" s="5"/>
      <c r="U223" s="5"/>
      <c r="V223" s="5"/>
      <c r="W223" s="5"/>
      <c r="X223" s="5"/>
      <c r="Y223" s="5"/>
      <c r="Z223" s="5"/>
    </row>
    <row r="224" ht="22.5" customHeight="1">
      <c r="A224" s="5"/>
      <c r="B224" s="125" t="s">
        <v>218</v>
      </c>
      <c r="I224" s="5"/>
      <c r="J224" s="5"/>
      <c r="K224" s="5"/>
      <c r="L224" s="5"/>
      <c r="M224" s="5"/>
      <c r="N224" s="5"/>
      <c r="O224" s="5"/>
      <c r="P224" s="5"/>
      <c r="Q224" s="5"/>
      <c r="R224" s="5"/>
      <c r="S224" s="5"/>
      <c r="T224" s="5"/>
      <c r="U224" s="5"/>
      <c r="V224" s="5"/>
      <c r="W224" s="5"/>
      <c r="X224" s="5"/>
      <c r="Y224" s="5"/>
      <c r="Z224" s="5"/>
    </row>
    <row r="225" ht="15.75" customHeight="1">
      <c r="A225" s="5"/>
      <c r="B225" s="126" t="s">
        <v>127</v>
      </c>
      <c r="C225" s="126" t="s">
        <v>128</v>
      </c>
      <c r="D225" s="126" t="s">
        <v>129</v>
      </c>
      <c r="E225" s="126" t="s">
        <v>130</v>
      </c>
      <c r="F225" s="126" t="s">
        <v>131</v>
      </c>
      <c r="G225" s="126" t="s">
        <v>50</v>
      </c>
      <c r="H225" s="126" t="s">
        <v>19</v>
      </c>
      <c r="I225" s="5"/>
      <c r="J225" s="5"/>
      <c r="K225" s="5"/>
      <c r="L225" s="5"/>
      <c r="M225" s="5"/>
      <c r="N225" s="5"/>
      <c r="O225" s="5"/>
      <c r="P225" s="5"/>
      <c r="Q225" s="5"/>
      <c r="R225" s="5"/>
      <c r="S225" s="5"/>
      <c r="T225" s="5"/>
      <c r="U225" s="5"/>
      <c r="V225" s="5"/>
      <c r="W225" s="5"/>
      <c r="X225" s="5"/>
      <c r="Y225" s="5"/>
      <c r="Z225" s="5"/>
    </row>
    <row r="226" ht="15.75" customHeight="1">
      <c r="A226" s="5"/>
      <c r="B226" s="119"/>
      <c r="C226" s="131"/>
      <c r="D226" s="129"/>
      <c r="E226" s="119"/>
      <c r="F226" s="129"/>
      <c r="G226" s="119"/>
      <c r="H226" s="119"/>
      <c r="I226" s="5"/>
      <c r="J226" s="5"/>
      <c r="K226" s="5"/>
      <c r="L226" s="5"/>
      <c r="M226" s="5"/>
      <c r="N226" s="5"/>
      <c r="O226" s="5"/>
      <c r="P226" s="5"/>
      <c r="Q226" s="5"/>
      <c r="R226" s="5"/>
      <c r="S226" s="5"/>
      <c r="T226" s="5"/>
      <c r="U226" s="5"/>
      <c r="V226" s="5"/>
      <c r="W226" s="5"/>
      <c r="X226" s="5"/>
      <c r="Y226" s="5"/>
      <c r="Z226" s="5"/>
    </row>
    <row r="227" ht="15.75" customHeight="1">
      <c r="A227" s="5"/>
      <c r="B227" s="119"/>
      <c r="C227" s="131"/>
      <c r="D227" s="129"/>
      <c r="E227" s="119"/>
      <c r="F227" s="129"/>
      <c r="G227" s="119"/>
      <c r="H227" s="119"/>
      <c r="I227" s="5"/>
      <c r="J227" s="5"/>
      <c r="K227" s="5"/>
      <c r="L227" s="5"/>
      <c r="M227" s="5"/>
      <c r="N227" s="5"/>
      <c r="O227" s="5"/>
      <c r="P227" s="5"/>
      <c r="Q227" s="5"/>
      <c r="R227" s="5"/>
      <c r="S227" s="5"/>
      <c r="T227" s="5"/>
      <c r="U227" s="5"/>
      <c r="V227" s="5"/>
      <c r="W227" s="5"/>
      <c r="X227" s="5"/>
      <c r="Y227" s="5"/>
      <c r="Z227" s="5"/>
    </row>
    <row r="228" ht="15.75" customHeight="1">
      <c r="A228" s="5"/>
      <c r="B228" s="119"/>
      <c r="C228" s="131"/>
      <c r="D228" s="129"/>
      <c r="E228" s="119"/>
      <c r="F228" s="129"/>
      <c r="G228" s="119"/>
      <c r="H228" s="119"/>
      <c r="I228" s="5"/>
      <c r="J228" s="5"/>
      <c r="K228" s="5"/>
      <c r="L228" s="5"/>
      <c r="M228" s="5"/>
      <c r="N228" s="5"/>
      <c r="O228" s="5"/>
      <c r="P228" s="5"/>
      <c r="Q228" s="5"/>
      <c r="R228" s="5"/>
      <c r="S228" s="5"/>
      <c r="T228" s="5"/>
      <c r="U228" s="5"/>
      <c r="V228" s="5"/>
      <c r="W228" s="5"/>
      <c r="X228" s="5"/>
      <c r="Y228" s="5"/>
      <c r="Z228" s="5"/>
    </row>
    <row r="229" ht="15.75" customHeight="1">
      <c r="A229" s="5"/>
      <c r="B229" s="119"/>
      <c r="C229" s="131"/>
      <c r="D229" s="129"/>
      <c r="E229" s="119"/>
      <c r="F229" s="129"/>
      <c r="G229" s="119"/>
      <c r="H229" s="119"/>
      <c r="I229" s="5"/>
      <c r="J229" s="5"/>
      <c r="K229" s="5"/>
      <c r="L229" s="5"/>
      <c r="M229" s="5"/>
      <c r="N229" s="5"/>
      <c r="O229" s="5"/>
      <c r="P229" s="5"/>
      <c r="Q229" s="5"/>
      <c r="R229" s="5"/>
      <c r="S229" s="5"/>
      <c r="T229" s="5"/>
      <c r="U229" s="5"/>
      <c r="V229" s="5"/>
      <c r="W229" s="5"/>
      <c r="X229" s="5"/>
      <c r="Y229" s="5"/>
      <c r="Z229" s="5"/>
    </row>
    <row r="230" ht="15.75" customHeight="1">
      <c r="A230" s="5"/>
      <c r="B230" s="119"/>
      <c r="C230" s="131"/>
      <c r="D230" s="129"/>
      <c r="E230" s="119"/>
      <c r="F230" s="129"/>
      <c r="G230" s="119"/>
      <c r="H230" s="119"/>
      <c r="I230" s="5"/>
      <c r="J230" s="5"/>
      <c r="K230" s="5"/>
      <c r="L230" s="5"/>
      <c r="M230" s="5"/>
      <c r="N230" s="5"/>
      <c r="O230" s="5"/>
      <c r="P230" s="5"/>
      <c r="Q230" s="5"/>
      <c r="R230" s="5"/>
      <c r="S230" s="5"/>
      <c r="T230" s="5"/>
      <c r="U230" s="5"/>
      <c r="V230" s="5"/>
      <c r="W230" s="5"/>
      <c r="X230" s="5"/>
      <c r="Y230" s="5"/>
      <c r="Z230" s="5"/>
    </row>
    <row r="231" ht="15.75" customHeight="1">
      <c r="A231" s="5"/>
      <c r="B231" s="5"/>
      <c r="C231" s="133"/>
      <c r="D231" s="134"/>
      <c r="E231" s="5"/>
      <c r="F231" s="134"/>
      <c r="G231" s="5"/>
      <c r="H231" s="5"/>
      <c r="I231" s="5"/>
      <c r="J231" s="5"/>
      <c r="K231" s="5"/>
      <c r="L231" s="5"/>
      <c r="M231" s="5"/>
      <c r="N231" s="5"/>
      <c r="O231" s="5"/>
      <c r="P231" s="5"/>
      <c r="Q231" s="5"/>
      <c r="R231" s="5"/>
      <c r="S231" s="5"/>
      <c r="T231" s="5"/>
      <c r="U231" s="5"/>
      <c r="V231" s="5"/>
      <c r="W231" s="5"/>
      <c r="X231" s="5"/>
      <c r="Y231" s="5"/>
      <c r="Z231" s="5"/>
    </row>
    <row r="232" ht="15.75" customHeight="1">
      <c r="A232" s="5"/>
      <c r="B232" s="171" t="s">
        <v>219</v>
      </c>
      <c r="C232" s="2"/>
      <c r="D232" s="2"/>
      <c r="E232" s="2"/>
      <c r="F232" s="2"/>
      <c r="G232" s="4"/>
      <c r="H232" s="5"/>
      <c r="I232" s="5"/>
      <c r="J232" s="5"/>
      <c r="K232" s="5"/>
      <c r="L232" s="5"/>
      <c r="M232" s="5"/>
      <c r="N232" s="5"/>
      <c r="O232" s="5"/>
      <c r="P232" s="5"/>
      <c r="Q232" s="5"/>
      <c r="R232" s="5"/>
      <c r="S232" s="5"/>
      <c r="T232" s="5"/>
      <c r="U232" s="5"/>
      <c r="V232" s="5"/>
      <c r="W232" s="5"/>
      <c r="X232" s="5"/>
      <c r="Y232" s="5"/>
      <c r="Z232" s="5"/>
    </row>
    <row r="233" ht="15.75" customHeight="1">
      <c r="A233" s="5"/>
      <c r="B233" s="172" t="s">
        <v>7</v>
      </c>
      <c r="C233" s="172" t="s">
        <v>9</v>
      </c>
      <c r="D233" s="172" t="s">
        <v>221</v>
      </c>
      <c r="E233" s="172" t="s">
        <v>222</v>
      </c>
      <c r="F233" s="172" t="s">
        <v>223</v>
      </c>
      <c r="G233" s="172" t="s">
        <v>18</v>
      </c>
      <c r="H233" s="5"/>
      <c r="I233" s="5"/>
      <c r="J233" s="5"/>
      <c r="K233" s="5"/>
      <c r="L233" s="5"/>
      <c r="M233" s="5"/>
      <c r="N233" s="5"/>
      <c r="O233" s="5"/>
      <c r="P233" s="5"/>
      <c r="Q233" s="5"/>
      <c r="R233" s="5"/>
      <c r="S233" s="5"/>
      <c r="T233" s="5"/>
      <c r="U233" s="5"/>
      <c r="V233" s="5"/>
      <c r="W233" s="5"/>
      <c r="X233" s="5"/>
      <c r="Y233" s="5"/>
      <c r="Z233" s="5"/>
    </row>
    <row r="234" ht="15.75" customHeight="1">
      <c r="A234" s="5"/>
      <c r="B234" s="41">
        <v>1.0</v>
      </c>
      <c r="C234" s="41" t="s">
        <v>21</v>
      </c>
      <c r="D234" s="52">
        <v>46129.0</v>
      </c>
      <c r="E234" s="175">
        <f t="shared" ref="E234:E258" si="8">IF($D234="","",DATE(YEAR($D234)+1,MONTH($D234),DAY($D234)))</f>
        <v>46494</v>
      </c>
      <c r="F234" s="176">
        <f t="shared" ref="F234:F258" si="9">IF($D234="","",$E234-TODAY())</f>
        <v>231</v>
      </c>
      <c r="G234" s="177" t="str">
        <f t="shared" ref="G234:G258" si="10">IF($D234="","Chưa có ngày",IF($F234&lt;=14,"Sắp / quá hạn",IF($F234&lt;=30,"Gần tới hạn","Còn xa")))</f>
        <v>Còn xa</v>
      </c>
      <c r="H234" s="5"/>
      <c r="I234" s="5"/>
      <c r="J234" s="5"/>
      <c r="K234" s="5"/>
      <c r="L234" s="5"/>
      <c r="M234" s="5"/>
      <c r="N234" s="5"/>
      <c r="O234" s="5"/>
      <c r="P234" s="5"/>
      <c r="Q234" s="5"/>
      <c r="R234" s="5"/>
      <c r="S234" s="5"/>
      <c r="T234" s="5"/>
      <c r="U234" s="5"/>
      <c r="V234" s="5"/>
      <c r="W234" s="5"/>
      <c r="X234" s="5"/>
      <c r="Y234" s="5"/>
      <c r="Z234" s="5"/>
    </row>
    <row r="235" ht="15.75" customHeight="1">
      <c r="A235" s="5"/>
      <c r="B235" s="41">
        <v>2.0</v>
      </c>
      <c r="C235" s="41" t="s">
        <v>55</v>
      </c>
      <c r="D235" s="52"/>
      <c r="E235" s="175" t="str">
        <f t="shared" si="8"/>
        <v/>
      </c>
      <c r="F235" s="176" t="str">
        <f t="shared" si="9"/>
        <v/>
      </c>
      <c r="G235" s="177" t="str">
        <f t="shared" si="10"/>
        <v>Chưa có ngày</v>
      </c>
      <c r="H235" s="5"/>
      <c r="I235" s="5"/>
      <c r="J235" s="5"/>
      <c r="K235" s="5"/>
      <c r="L235" s="5"/>
      <c r="M235" s="5"/>
      <c r="N235" s="5"/>
      <c r="O235" s="5"/>
      <c r="P235" s="5"/>
      <c r="Q235" s="5"/>
      <c r="R235" s="5"/>
      <c r="S235" s="5"/>
      <c r="T235" s="5"/>
      <c r="U235" s="5"/>
      <c r="V235" s="5"/>
      <c r="W235" s="5"/>
      <c r="X235" s="5"/>
      <c r="Y235" s="5"/>
      <c r="Z235" s="5"/>
    </row>
    <row r="236" ht="15.75" customHeight="1">
      <c r="A236" s="5"/>
      <c r="B236" s="41">
        <v>3.0</v>
      </c>
      <c r="C236" s="41" t="s">
        <v>57</v>
      </c>
      <c r="D236" s="52"/>
      <c r="E236" s="175" t="str">
        <f t="shared" si="8"/>
        <v/>
      </c>
      <c r="F236" s="176" t="str">
        <f t="shared" si="9"/>
        <v/>
      </c>
      <c r="G236" s="177" t="str">
        <f t="shared" si="10"/>
        <v>Chưa có ngày</v>
      </c>
      <c r="H236" s="5"/>
      <c r="I236" s="5"/>
      <c r="J236" s="5"/>
      <c r="K236" s="5"/>
      <c r="L236" s="5"/>
      <c r="M236" s="5"/>
      <c r="N236" s="5"/>
      <c r="O236" s="5"/>
      <c r="P236" s="5"/>
      <c r="Q236" s="5"/>
      <c r="R236" s="5"/>
      <c r="S236" s="5"/>
      <c r="T236" s="5"/>
      <c r="U236" s="5"/>
      <c r="V236" s="5"/>
      <c r="W236" s="5"/>
      <c r="X236" s="5"/>
      <c r="Y236" s="5"/>
      <c r="Z236" s="5"/>
    </row>
    <row r="237" ht="15.75" customHeight="1">
      <c r="A237" s="5"/>
      <c r="B237" s="41">
        <v>4.0</v>
      </c>
      <c r="C237" s="41" t="s">
        <v>60</v>
      </c>
      <c r="D237" s="52">
        <v>46126.0</v>
      </c>
      <c r="E237" s="175">
        <f t="shared" si="8"/>
        <v>46491</v>
      </c>
      <c r="F237" s="176">
        <f t="shared" si="9"/>
        <v>228</v>
      </c>
      <c r="G237" s="177" t="str">
        <f t="shared" si="10"/>
        <v>Còn xa</v>
      </c>
      <c r="H237" s="5"/>
      <c r="I237" s="5"/>
      <c r="J237" s="5"/>
      <c r="K237" s="5"/>
      <c r="L237" s="5"/>
      <c r="M237" s="5"/>
      <c r="N237" s="5"/>
      <c r="O237" s="5"/>
      <c r="P237" s="5"/>
      <c r="Q237" s="5"/>
      <c r="R237" s="5"/>
      <c r="S237" s="5"/>
      <c r="T237" s="5"/>
      <c r="U237" s="5"/>
      <c r="V237" s="5"/>
      <c r="W237" s="5"/>
      <c r="X237" s="5"/>
      <c r="Y237" s="5"/>
      <c r="Z237" s="5"/>
    </row>
    <row r="238" ht="15.75" customHeight="1">
      <c r="A238" s="5"/>
      <c r="B238" s="41">
        <v>5.0</v>
      </c>
      <c r="C238" s="41" t="s">
        <v>63</v>
      </c>
      <c r="D238" s="52"/>
      <c r="E238" s="175" t="str">
        <f t="shared" si="8"/>
        <v/>
      </c>
      <c r="F238" s="176" t="str">
        <f t="shared" si="9"/>
        <v/>
      </c>
      <c r="G238" s="177" t="str">
        <f t="shared" si="10"/>
        <v>Chưa có ngày</v>
      </c>
      <c r="H238" s="5"/>
      <c r="I238" s="5"/>
      <c r="J238" s="5"/>
      <c r="K238" s="5"/>
      <c r="L238" s="5"/>
      <c r="M238" s="5"/>
      <c r="N238" s="5"/>
      <c r="O238" s="5"/>
      <c r="P238" s="5"/>
      <c r="Q238" s="5"/>
      <c r="R238" s="5"/>
      <c r="S238" s="5"/>
      <c r="T238" s="5"/>
      <c r="U238" s="5"/>
      <c r="V238" s="5"/>
      <c r="W238" s="5"/>
      <c r="X238" s="5"/>
      <c r="Y238" s="5"/>
      <c r="Z238" s="5"/>
    </row>
    <row r="239" ht="15.75" customHeight="1">
      <c r="A239" s="5"/>
      <c r="B239" s="41">
        <v>6.0</v>
      </c>
      <c r="C239" s="41" t="s">
        <v>66</v>
      </c>
      <c r="D239" s="52"/>
      <c r="E239" s="175" t="str">
        <f t="shared" si="8"/>
        <v/>
      </c>
      <c r="F239" s="176" t="str">
        <f t="shared" si="9"/>
        <v/>
      </c>
      <c r="G239" s="177" t="str">
        <f t="shared" si="10"/>
        <v>Chưa có ngày</v>
      </c>
      <c r="H239" s="5"/>
      <c r="I239" s="5"/>
      <c r="J239" s="5"/>
      <c r="K239" s="5"/>
      <c r="L239" s="5"/>
      <c r="M239" s="5"/>
      <c r="N239" s="5"/>
      <c r="O239" s="5"/>
      <c r="P239" s="5"/>
      <c r="Q239" s="5"/>
      <c r="R239" s="5"/>
      <c r="S239" s="5"/>
      <c r="T239" s="5"/>
      <c r="U239" s="5"/>
      <c r="V239" s="5"/>
      <c r="W239" s="5"/>
      <c r="X239" s="5"/>
      <c r="Y239" s="5"/>
      <c r="Z239" s="5"/>
    </row>
    <row r="240" ht="15.75" customHeight="1">
      <c r="A240" s="5"/>
      <c r="B240" s="41">
        <v>7.0</v>
      </c>
      <c r="C240" s="41" t="s">
        <v>68</v>
      </c>
      <c r="D240" s="52">
        <v>46129.0</v>
      </c>
      <c r="E240" s="175">
        <f t="shared" si="8"/>
        <v>46494</v>
      </c>
      <c r="F240" s="176">
        <f t="shared" si="9"/>
        <v>231</v>
      </c>
      <c r="G240" s="177" t="str">
        <f t="shared" si="10"/>
        <v>Còn xa</v>
      </c>
      <c r="H240" s="5"/>
      <c r="I240" s="5"/>
      <c r="J240" s="5"/>
      <c r="K240" s="5"/>
      <c r="L240" s="5"/>
      <c r="M240" s="5"/>
      <c r="N240" s="5"/>
      <c r="O240" s="5"/>
      <c r="P240" s="5"/>
      <c r="Q240" s="5"/>
      <c r="R240" s="5"/>
      <c r="S240" s="5"/>
      <c r="T240" s="5"/>
      <c r="U240" s="5"/>
      <c r="V240" s="5"/>
      <c r="W240" s="5"/>
      <c r="X240" s="5"/>
      <c r="Y240" s="5"/>
      <c r="Z240" s="5"/>
    </row>
    <row r="241" ht="15.75" customHeight="1">
      <c r="A241" s="5"/>
      <c r="B241" s="41">
        <v>8.0</v>
      </c>
      <c r="C241" s="41" t="s">
        <v>70</v>
      </c>
      <c r="D241" s="52"/>
      <c r="E241" s="175" t="str">
        <f t="shared" si="8"/>
        <v/>
      </c>
      <c r="F241" s="176" t="str">
        <f t="shared" si="9"/>
        <v/>
      </c>
      <c r="G241" s="177" t="str">
        <f t="shared" si="10"/>
        <v>Chưa có ngày</v>
      </c>
      <c r="H241" s="5"/>
      <c r="I241" s="5"/>
      <c r="J241" s="5"/>
      <c r="K241" s="5"/>
      <c r="L241" s="5"/>
      <c r="M241" s="5"/>
      <c r="N241" s="5"/>
      <c r="O241" s="5"/>
      <c r="P241" s="5"/>
      <c r="Q241" s="5"/>
      <c r="R241" s="5"/>
      <c r="S241" s="5"/>
      <c r="T241" s="5"/>
      <c r="U241" s="5"/>
      <c r="V241" s="5"/>
      <c r="W241" s="5"/>
      <c r="X241" s="5"/>
      <c r="Y241" s="5"/>
      <c r="Z241" s="5"/>
    </row>
    <row r="242" ht="15.75" customHeight="1">
      <c r="A242" s="5"/>
      <c r="B242" s="41">
        <v>9.0</v>
      </c>
      <c r="C242" s="41" t="s">
        <v>89</v>
      </c>
      <c r="D242" s="52"/>
      <c r="E242" s="175" t="str">
        <f t="shared" si="8"/>
        <v/>
      </c>
      <c r="F242" s="176" t="str">
        <f t="shared" si="9"/>
        <v/>
      </c>
      <c r="G242" s="177" t="str">
        <f t="shared" si="10"/>
        <v>Chưa có ngày</v>
      </c>
      <c r="H242" s="5"/>
      <c r="I242" s="5"/>
      <c r="J242" s="5"/>
      <c r="K242" s="5"/>
      <c r="L242" s="5"/>
      <c r="M242" s="5"/>
      <c r="N242" s="5"/>
      <c r="O242" s="5"/>
      <c r="P242" s="5"/>
      <c r="Q242" s="5"/>
      <c r="R242" s="5"/>
      <c r="S242" s="5"/>
      <c r="T242" s="5"/>
      <c r="U242" s="5"/>
      <c r="V242" s="5"/>
      <c r="W242" s="5"/>
      <c r="X242" s="5"/>
      <c r="Y242" s="5"/>
      <c r="Z242" s="5"/>
    </row>
    <row r="243" ht="15.75" customHeight="1">
      <c r="A243" s="5"/>
      <c r="B243" s="41">
        <v>10.0</v>
      </c>
      <c r="C243" s="41" t="s">
        <v>93</v>
      </c>
      <c r="D243" s="52">
        <v>46202.0</v>
      </c>
      <c r="E243" s="175">
        <f t="shared" si="8"/>
        <v>46567</v>
      </c>
      <c r="F243" s="176">
        <f t="shared" si="9"/>
        <v>304</v>
      </c>
      <c r="G243" s="177" t="str">
        <f t="shared" si="10"/>
        <v>Còn xa</v>
      </c>
      <c r="H243" s="5"/>
      <c r="I243" s="5"/>
      <c r="J243" s="5"/>
      <c r="K243" s="5"/>
      <c r="L243" s="5"/>
      <c r="M243" s="5"/>
      <c r="N243" s="5"/>
      <c r="O243" s="5"/>
      <c r="P243" s="5"/>
      <c r="Q243" s="5"/>
      <c r="R243" s="5"/>
      <c r="S243" s="5"/>
      <c r="T243" s="5"/>
      <c r="U243" s="5"/>
      <c r="V243" s="5"/>
      <c r="W243" s="5"/>
      <c r="X243" s="5"/>
      <c r="Y243" s="5"/>
      <c r="Z243" s="5"/>
    </row>
    <row r="244" ht="15.75" customHeight="1">
      <c r="A244" s="5"/>
      <c r="B244" s="41">
        <v>11.0</v>
      </c>
      <c r="C244" s="41" t="s">
        <v>77</v>
      </c>
      <c r="D244" s="52">
        <v>46089.0</v>
      </c>
      <c r="E244" s="175">
        <f t="shared" si="8"/>
        <v>46454</v>
      </c>
      <c r="F244" s="176">
        <f t="shared" si="9"/>
        <v>191</v>
      </c>
      <c r="G244" s="177" t="str">
        <f t="shared" si="10"/>
        <v>Còn xa</v>
      </c>
      <c r="H244" s="5"/>
      <c r="I244" s="5"/>
      <c r="J244" s="5"/>
      <c r="K244" s="5"/>
      <c r="L244" s="5"/>
      <c r="M244" s="5"/>
      <c r="N244" s="5"/>
      <c r="O244" s="5"/>
      <c r="P244" s="5"/>
      <c r="Q244" s="5"/>
      <c r="R244" s="5"/>
      <c r="S244" s="5"/>
      <c r="T244" s="5"/>
      <c r="U244" s="5"/>
      <c r="V244" s="5"/>
      <c r="W244" s="5"/>
      <c r="X244" s="5"/>
      <c r="Y244" s="5"/>
      <c r="Z244" s="5"/>
    </row>
    <row r="245" ht="15.75" customHeight="1">
      <c r="A245" s="5"/>
      <c r="B245" s="41">
        <v>12.0</v>
      </c>
      <c r="C245" s="41" t="s">
        <v>80</v>
      </c>
      <c r="D245" s="52"/>
      <c r="E245" s="175" t="str">
        <f t="shared" si="8"/>
        <v/>
      </c>
      <c r="F245" s="176" t="str">
        <f t="shared" si="9"/>
        <v/>
      </c>
      <c r="G245" s="177" t="str">
        <f t="shared" si="10"/>
        <v>Chưa có ngày</v>
      </c>
      <c r="H245" s="5"/>
      <c r="I245" s="5"/>
      <c r="J245" s="5"/>
      <c r="K245" s="5"/>
      <c r="L245" s="5"/>
      <c r="M245" s="5"/>
      <c r="N245" s="5"/>
      <c r="O245" s="5"/>
      <c r="P245" s="5"/>
      <c r="Q245" s="5"/>
      <c r="R245" s="5"/>
      <c r="S245" s="5"/>
      <c r="T245" s="5"/>
      <c r="U245" s="5"/>
      <c r="V245" s="5"/>
      <c r="W245" s="5"/>
      <c r="X245" s="5"/>
      <c r="Y245" s="5"/>
      <c r="Z245" s="5"/>
    </row>
    <row r="246" ht="15.75" customHeight="1">
      <c r="A246" s="5"/>
      <c r="B246" s="41">
        <v>13.0</v>
      </c>
      <c r="C246" s="41" t="s">
        <v>83</v>
      </c>
      <c r="D246" s="52"/>
      <c r="E246" s="175" t="str">
        <f t="shared" si="8"/>
        <v/>
      </c>
      <c r="F246" s="176" t="str">
        <f t="shared" si="9"/>
        <v/>
      </c>
      <c r="G246" s="177" t="str">
        <f t="shared" si="10"/>
        <v>Chưa có ngày</v>
      </c>
      <c r="H246" s="5"/>
      <c r="I246" s="5"/>
      <c r="J246" s="5"/>
      <c r="K246" s="5"/>
      <c r="L246" s="5"/>
      <c r="M246" s="5"/>
      <c r="N246" s="5"/>
      <c r="O246" s="5"/>
      <c r="P246" s="5"/>
      <c r="Q246" s="5"/>
      <c r="R246" s="5"/>
      <c r="S246" s="5"/>
      <c r="T246" s="5"/>
      <c r="U246" s="5"/>
      <c r="V246" s="5"/>
      <c r="W246" s="5"/>
      <c r="X246" s="5"/>
      <c r="Y246" s="5"/>
      <c r="Z246" s="5"/>
    </row>
    <row r="247" ht="15.75" customHeight="1">
      <c r="A247" s="5"/>
      <c r="B247" s="41">
        <v>14.0</v>
      </c>
      <c r="C247" s="41" t="s">
        <v>85</v>
      </c>
      <c r="D247" s="52"/>
      <c r="E247" s="175" t="str">
        <f t="shared" si="8"/>
        <v/>
      </c>
      <c r="F247" s="176" t="str">
        <f t="shared" si="9"/>
        <v/>
      </c>
      <c r="G247" s="177" t="str">
        <f t="shared" si="10"/>
        <v>Chưa có ngày</v>
      </c>
      <c r="H247" s="5"/>
      <c r="I247" s="5"/>
      <c r="J247" s="5"/>
      <c r="K247" s="5"/>
      <c r="L247" s="5"/>
      <c r="M247" s="5"/>
      <c r="N247" s="5"/>
      <c r="O247" s="5"/>
      <c r="P247" s="5"/>
      <c r="Q247" s="5"/>
      <c r="R247" s="5"/>
      <c r="S247" s="5"/>
      <c r="T247" s="5"/>
      <c r="U247" s="5"/>
      <c r="V247" s="5"/>
      <c r="W247" s="5"/>
      <c r="X247" s="5"/>
      <c r="Y247" s="5"/>
      <c r="Z247" s="5"/>
    </row>
    <row r="248" ht="15.75" customHeight="1">
      <c r="A248" s="5"/>
      <c r="B248" s="41">
        <v>15.0</v>
      </c>
      <c r="C248" s="41" t="s">
        <v>91</v>
      </c>
      <c r="D248" s="52"/>
      <c r="E248" s="175" t="str">
        <f t="shared" si="8"/>
        <v/>
      </c>
      <c r="F248" s="176" t="str">
        <f t="shared" si="9"/>
        <v/>
      </c>
      <c r="G248" s="177" t="str">
        <f t="shared" si="10"/>
        <v>Chưa có ngày</v>
      </c>
      <c r="H248" s="5"/>
      <c r="I248" s="5"/>
      <c r="J248" s="5"/>
      <c r="K248" s="5"/>
      <c r="L248" s="5"/>
      <c r="M248" s="5"/>
      <c r="N248" s="5"/>
      <c r="O248" s="5"/>
      <c r="P248" s="5"/>
      <c r="Q248" s="5"/>
      <c r="R248" s="5"/>
      <c r="S248" s="5"/>
      <c r="T248" s="5"/>
      <c r="U248" s="5"/>
      <c r="V248" s="5"/>
      <c r="W248" s="5"/>
      <c r="X248" s="5"/>
      <c r="Y248" s="5"/>
      <c r="Z248" s="5"/>
    </row>
    <row r="249" ht="15.75" customHeight="1">
      <c r="A249" s="5"/>
      <c r="B249" s="41">
        <v>16.0</v>
      </c>
      <c r="C249" s="41" t="s">
        <v>87</v>
      </c>
      <c r="D249" s="52"/>
      <c r="E249" s="175" t="str">
        <f t="shared" si="8"/>
        <v/>
      </c>
      <c r="F249" s="176" t="str">
        <f t="shared" si="9"/>
        <v/>
      </c>
      <c r="G249" s="177" t="str">
        <f t="shared" si="10"/>
        <v>Chưa có ngày</v>
      </c>
      <c r="H249" s="5"/>
      <c r="I249" s="5"/>
      <c r="J249" s="5"/>
      <c r="K249" s="5"/>
      <c r="L249" s="5"/>
      <c r="M249" s="5"/>
      <c r="N249" s="5"/>
      <c r="O249" s="5"/>
      <c r="P249" s="5"/>
      <c r="Q249" s="5"/>
      <c r="R249" s="5"/>
      <c r="S249" s="5"/>
      <c r="T249" s="5"/>
      <c r="U249" s="5"/>
      <c r="V249" s="5"/>
      <c r="W249" s="5"/>
      <c r="X249" s="5"/>
      <c r="Y249" s="5"/>
      <c r="Z249" s="5"/>
    </row>
    <row r="250" ht="15.75" customHeight="1">
      <c r="A250" s="5"/>
      <c r="B250" s="41">
        <v>17.0</v>
      </c>
      <c r="C250" s="41" t="s">
        <v>101</v>
      </c>
      <c r="D250" s="52"/>
      <c r="E250" s="175" t="str">
        <f t="shared" si="8"/>
        <v/>
      </c>
      <c r="F250" s="176" t="str">
        <f t="shared" si="9"/>
        <v/>
      </c>
      <c r="G250" s="177" t="str">
        <f t="shared" si="10"/>
        <v>Chưa có ngày</v>
      </c>
      <c r="H250" s="5"/>
      <c r="I250" s="5"/>
      <c r="J250" s="5"/>
      <c r="K250" s="5"/>
      <c r="L250" s="5"/>
      <c r="M250" s="5"/>
      <c r="N250" s="5"/>
      <c r="O250" s="5"/>
      <c r="P250" s="5"/>
      <c r="Q250" s="5"/>
      <c r="R250" s="5"/>
      <c r="S250" s="5"/>
      <c r="T250" s="5"/>
      <c r="U250" s="5"/>
      <c r="V250" s="5"/>
      <c r="W250" s="5"/>
      <c r="X250" s="5"/>
      <c r="Y250" s="5"/>
      <c r="Z250" s="5"/>
    </row>
    <row r="251" ht="15.75" customHeight="1">
      <c r="A251" s="5"/>
      <c r="B251" s="41">
        <v>18.0</v>
      </c>
      <c r="C251" s="41" t="s">
        <v>98</v>
      </c>
      <c r="D251" s="52"/>
      <c r="E251" s="175" t="str">
        <f t="shared" si="8"/>
        <v/>
      </c>
      <c r="F251" s="176" t="str">
        <f t="shared" si="9"/>
        <v/>
      </c>
      <c r="G251" s="177" t="str">
        <f t="shared" si="10"/>
        <v>Chưa có ngày</v>
      </c>
      <c r="H251" s="5"/>
      <c r="I251" s="5"/>
      <c r="J251" s="5"/>
      <c r="K251" s="5"/>
      <c r="L251" s="5"/>
      <c r="M251" s="5"/>
      <c r="N251" s="5"/>
      <c r="O251" s="5"/>
      <c r="P251" s="5"/>
      <c r="Q251" s="5"/>
      <c r="R251" s="5"/>
      <c r="S251" s="5"/>
      <c r="T251" s="5"/>
      <c r="U251" s="5"/>
      <c r="V251" s="5"/>
      <c r="W251" s="5"/>
      <c r="X251" s="5"/>
      <c r="Y251" s="5"/>
      <c r="Z251" s="5"/>
    </row>
    <row r="252" ht="15.75" customHeight="1">
      <c r="A252" s="5"/>
      <c r="B252" s="41">
        <v>19.0</v>
      </c>
      <c r="C252" s="41" t="s">
        <v>96</v>
      </c>
      <c r="D252" s="52"/>
      <c r="E252" s="175" t="str">
        <f t="shared" si="8"/>
        <v/>
      </c>
      <c r="F252" s="176" t="str">
        <f t="shared" si="9"/>
        <v/>
      </c>
      <c r="G252" s="177" t="str">
        <f t="shared" si="10"/>
        <v>Chưa có ngày</v>
      </c>
      <c r="H252" s="5"/>
      <c r="I252" s="5"/>
      <c r="J252" s="5"/>
      <c r="K252" s="5"/>
      <c r="L252" s="5"/>
      <c r="M252" s="5"/>
      <c r="N252" s="5"/>
      <c r="O252" s="5"/>
      <c r="P252" s="5"/>
      <c r="Q252" s="5"/>
      <c r="R252" s="5"/>
      <c r="S252" s="5"/>
      <c r="T252" s="5"/>
      <c r="U252" s="5"/>
      <c r="V252" s="5"/>
      <c r="W252" s="5"/>
      <c r="X252" s="5"/>
      <c r="Y252" s="5"/>
      <c r="Z252" s="5"/>
    </row>
    <row r="253" ht="15.75" customHeight="1">
      <c r="A253" s="5"/>
      <c r="B253" s="41">
        <v>20.0</v>
      </c>
      <c r="C253" s="41" t="s">
        <v>94</v>
      </c>
      <c r="D253" s="52"/>
      <c r="E253" s="175" t="str">
        <f t="shared" si="8"/>
        <v/>
      </c>
      <c r="F253" s="176" t="str">
        <f t="shared" si="9"/>
        <v/>
      </c>
      <c r="G253" s="177" t="str">
        <f t="shared" si="10"/>
        <v>Chưa có ngày</v>
      </c>
      <c r="H253" s="5"/>
      <c r="I253" s="5"/>
      <c r="J253" s="5"/>
      <c r="K253" s="5"/>
      <c r="L253" s="5"/>
      <c r="M253" s="5"/>
      <c r="N253" s="5"/>
      <c r="O253" s="5"/>
      <c r="P253" s="5"/>
      <c r="Q253" s="5"/>
      <c r="R253" s="5"/>
      <c r="S253" s="5"/>
      <c r="T253" s="5"/>
      <c r="U253" s="5"/>
      <c r="V253" s="5"/>
      <c r="W253" s="5"/>
      <c r="X253" s="5"/>
      <c r="Y253" s="5"/>
      <c r="Z253" s="5"/>
    </row>
    <row r="254" ht="15.75" customHeight="1">
      <c r="A254" s="5"/>
      <c r="B254" s="41">
        <v>21.0</v>
      </c>
      <c r="C254" s="41" t="s">
        <v>108</v>
      </c>
      <c r="D254" s="52"/>
      <c r="E254" s="175" t="str">
        <f t="shared" si="8"/>
        <v/>
      </c>
      <c r="F254" s="176" t="str">
        <f t="shared" si="9"/>
        <v/>
      </c>
      <c r="G254" s="177" t="str">
        <f t="shared" si="10"/>
        <v>Chưa có ngày</v>
      </c>
      <c r="H254" s="5"/>
      <c r="I254" s="5"/>
      <c r="J254" s="5"/>
      <c r="K254" s="5"/>
      <c r="L254" s="5"/>
      <c r="M254" s="5"/>
      <c r="N254" s="5"/>
      <c r="O254" s="5"/>
      <c r="P254" s="5"/>
      <c r="Q254" s="5"/>
      <c r="R254" s="5"/>
      <c r="S254" s="5"/>
      <c r="T254" s="5"/>
      <c r="U254" s="5"/>
      <c r="V254" s="5"/>
      <c r="W254" s="5"/>
      <c r="X254" s="5"/>
      <c r="Y254" s="5"/>
      <c r="Z254" s="5"/>
    </row>
    <row r="255" ht="15.75" customHeight="1">
      <c r="A255" s="5"/>
      <c r="B255" s="41">
        <v>22.0</v>
      </c>
      <c r="C255" s="41" t="s">
        <v>104</v>
      </c>
      <c r="D255" s="52"/>
      <c r="E255" s="175" t="str">
        <f t="shared" si="8"/>
        <v/>
      </c>
      <c r="F255" s="176" t="str">
        <f t="shared" si="9"/>
        <v/>
      </c>
      <c r="G255" s="177" t="str">
        <f t="shared" si="10"/>
        <v>Chưa có ngày</v>
      </c>
      <c r="H255" s="5"/>
      <c r="I255" s="5"/>
      <c r="J255" s="5"/>
      <c r="K255" s="5"/>
      <c r="L255" s="5"/>
      <c r="M255" s="5"/>
      <c r="N255" s="5"/>
      <c r="O255" s="5"/>
      <c r="P255" s="5"/>
      <c r="Q255" s="5"/>
      <c r="R255" s="5"/>
      <c r="S255" s="5"/>
      <c r="T255" s="5"/>
      <c r="U255" s="5"/>
      <c r="V255" s="5"/>
      <c r="W255" s="5"/>
      <c r="X255" s="5"/>
      <c r="Y255" s="5"/>
      <c r="Z255" s="5"/>
    </row>
    <row r="256" ht="15.75" customHeight="1">
      <c r="A256" s="5"/>
      <c r="B256" s="41">
        <v>23.0</v>
      </c>
      <c r="C256" s="41" t="s">
        <v>111</v>
      </c>
      <c r="D256" s="52"/>
      <c r="E256" s="175" t="str">
        <f t="shared" si="8"/>
        <v/>
      </c>
      <c r="F256" s="176" t="str">
        <f t="shared" si="9"/>
        <v/>
      </c>
      <c r="G256" s="177" t="str">
        <f t="shared" si="10"/>
        <v>Chưa có ngày</v>
      </c>
      <c r="H256" s="5"/>
      <c r="I256" s="5"/>
      <c r="J256" s="5"/>
      <c r="K256" s="5"/>
      <c r="L256" s="5"/>
      <c r="M256" s="5"/>
      <c r="N256" s="5"/>
      <c r="O256" s="5"/>
      <c r="P256" s="5"/>
      <c r="Q256" s="5"/>
      <c r="R256" s="5"/>
      <c r="S256" s="5"/>
      <c r="T256" s="5"/>
      <c r="U256" s="5"/>
      <c r="V256" s="5"/>
      <c r="W256" s="5"/>
      <c r="X256" s="5"/>
      <c r="Y256" s="5"/>
      <c r="Z256" s="5"/>
    </row>
    <row r="257" ht="15.75" customHeight="1">
      <c r="A257" s="5"/>
      <c r="B257" s="41">
        <v>24.0</v>
      </c>
      <c r="C257" s="41" t="s">
        <v>114</v>
      </c>
      <c r="D257" s="52"/>
      <c r="E257" s="175" t="str">
        <f t="shared" si="8"/>
        <v/>
      </c>
      <c r="F257" s="176" t="str">
        <f t="shared" si="9"/>
        <v/>
      </c>
      <c r="G257" s="177" t="str">
        <f t="shared" si="10"/>
        <v>Chưa có ngày</v>
      </c>
      <c r="H257" s="5"/>
      <c r="I257" s="5"/>
      <c r="J257" s="5"/>
      <c r="K257" s="5"/>
      <c r="L257" s="5"/>
      <c r="M257" s="5"/>
      <c r="N257" s="5"/>
      <c r="O257" s="5"/>
      <c r="P257" s="5"/>
      <c r="Q257" s="5"/>
      <c r="R257" s="5"/>
      <c r="S257" s="5"/>
      <c r="T257" s="5"/>
      <c r="U257" s="5"/>
      <c r="V257" s="5"/>
      <c r="W257" s="5"/>
      <c r="X257" s="5"/>
      <c r="Y257" s="5"/>
      <c r="Z257" s="5"/>
    </row>
    <row r="258" ht="15.75" customHeight="1">
      <c r="A258" s="5"/>
      <c r="B258" s="157">
        <v>25.0</v>
      </c>
      <c r="C258" s="157" t="s">
        <v>117</v>
      </c>
      <c r="D258" s="52"/>
      <c r="E258" s="175" t="str">
        <f t="shared" si="8"/>
        <v/>
      </c>
      <c r="F258" s="176" t="str">
        <f t="shared" si="9"/>
        <v/>
      </c>
      <c r="G258" s="177" t="str">
        <f t="shared" si="10"/>
        <v>Chưa có ngày</v>
      </c>
      <c r="H258" s="5"/>
      <c r="I258" s="5"/>
      <c r="J258" s="5"/>
      <c r="K258" s="5"/>
      <c r="L258" s="5"/>
      <c r="M258" s="5"/>
      <c r="N258" s="5"/>
      <c r="O258" s="5"/>
      <c r="P258" s="5"/>
      <c r="Q258" s="5"/>
      <c r="R258" s="5"/>
      <c r="S258" s="5"/>
      <c r="T258" s="5"/>
      <c r="U258" s="5"/>
      <c r="V258" s="5"/>
      <c r="W258" s="5"/>
      <c r="X258" s="5"/>
      <c r="Y258" s="5"/>
      <c r="Z258" s="5"/>
    </row>
    <row r="259" ht="15.75" customHeight="1">
      <c r="A259" s="5"/>
      <c r="B259" s="178" t="s">
        <v>234</v>
      </c>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sheetData>
  <mergeCells count="29">
    <mergeCell ref="A1:L1"/>
    <mergeCell ref="A2:L2"/>
    <mergeCell ref="B5:L5"/>
    <mergeCell ref="B33:H33"/>
    <mergeCell ref="B41:H41"/>
    <mergeCell ref="B49:H49"/>
    <mergeCell ref="B57:H57"/>
    <mergeCell ref="B65:H65"/>
    <mergeCell ref="B73:H73"/>
    <mergeCell ref="B81:H81"/>
    <mergeCell ref="B89:H89"/>
    <mergeCell ref="B97:H97"/>
    <mergeCell ref="B105:H105"/>
    <mergeCell ref="B113:H113"/>
    <mergeCell ref="B177:H177"/>
    <mergeCell ref="B185:H185"/>
    <mergeCell ref="B193:H193"/>
    <mergeCell ref="B201:H201"/>
    <mergeCell ref="B209:H209"/>
    <mergeCell ref="B216:H216"/>
    <mergeCell ref="B224:H224"/>
    <mergeCell ref="B232:G232"/>
    <mergeCell ref="B121:H121"/>
    <mergeCell ref="B129:H129"/>
    <mergeCell ref="B137:H137"/>
    <mergeCell ref="B145:H145"/>
    <mergeCell ref="B153:H153"/>
    <mergeCell ref="B161:H161"/>
    <mergeCell ref="B169:H169"/>
  </mergeCells>
  <conditionalFormatting sqref="B234:G258">
    <cfRule type="expression" dxfId="3" priority="1" stopIfTrue="1">
      <formula>$D234=""</formula>
    </cfRule>
  </conditionalFormatting>
  <conditionalFormatting sqref="B234:G258">
    <cfRule type="expression" dxfId="4" priority="2" stopIfTrue="1">
      <formula>AND($D234&lt;&gt;"",$F234&lt;=14)</formula>
    </cfRule>
  </conditionalFormatting>
  <conditionalFormatting sqref="B234:G258">
    <cfRule type="expression" dxfId="5" priority="3" stopIfTrue="1">
      <formula>AND($D234&lt;&gt;"",$F234&gt;14,$F234&lt;=30)</formula>
    </cfRule>
  </conditionalFormatting>
  <conditionalFormatting sqref="B7:L30 B32:L32">
    <cfRule type="expression" dxfId="3" priority="4" stopIfTrue="1">
      <formula>"OR($I9="";$G9="")"</formula>
    </cfRule>
  </conditionalFormatting>
  <conditionalFormatting sqref="B7:L30 B32:L32">
    <cfRule type="expression" dxfId="6" priority="5" stopIfTrue="1">
      <formula>"AND($I9&lt;&gt;"";$G9&lt;&gt;"";$J9&lt;=1000)"</formula>
    </cfRule>
  </conditionalFormatting>
  <conditionalFormatting sqref="B7:L30 B32:L32">
    <cfRule type="expression" dxfId="7" priority="6" stopIfTrue="1">
      <formula>"AND($I9&lt;&gt;"";$G9&lt;&gt;"";$J9&gt;1000;$J9&lt;=3000)"</formula>
    </cfRule>
  </conditionalFormatting>
  <dataValidations>
    <dataValidation type="list" allowBlank="1" showErrorMessage="1" sqref="G35:G39 G43:G47 G51:G55 G59:G63 G67:G71 G75:G79 G83:G87 G91:G95 G99:G103 G107:G111 G115:G119 G123:G127 G131:G135 G139:G143 G147:G151 G155:G159 G163:G167 G171:G175 G179:G183 G187:G191 G195:G199 G203:G207 G211:G215 G218:G222 G226:G230">
      <formula1>"Đã thanh toán,Chưa thanh toán"</formula1>
    </dataValidation>
    <dataValidation type="custom" allowBlank="1" showDropDown="1" sqref="F7:F28 F30 F32 B35:B39 B43:B47 B51:B55 B59:B63 B67:B71 B75:B79 B83:B87 B91:B95 B99:B103 B107:B111 B115:B119 B123:B127 B131:B135 B139:B143 B147:B151 B155:B159 B163:B167 B171:B175 B179:B183 B187:B191 B195:B199 B203:B207 B211:B215 B218:B222 B226:B230">
      <formula1>OR(NOT(ISERROR(DATEVALUE(B7))), AND(ISNUMBER(B7), LEFT(CELL("format", B7))="D"))</formula1>
    </dataValidation>
  </dataValidations>
  <printOptions/>
  <pageMargins bottom="1.0" footer="0.0" header="0.0" left="0.75" right="0.75" top="1.0"/>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C4A2E"/>
    <pageSetUpPr fitToPage="1"/>
  </sheetPr>
  <sheetViews>
    <sheetView showGridLines="0" workbookViewId="0">
      <pane xSplit="1.0" ySplit="9.0" topLeftCell="B10" activePane="bottomRight" state="frozen"/>
      <selection activeCell="B1" sqref="B1" pane="topRight"/>
      <selection activeCell="A10" sqref="A10" pane="bottomLeft"/>
      <selection activeCell="B10" sqref="B10" pane="bottomRight"/>
    </sheetView>
  </sheetViews>
  <sheetFormatPr customHeight="1" defaultColWidth="14.43" defaultRowHeight="15.0"/>
  <cols>
    <col customWidth="1" min="1" max="1" width="2.29"/>
    <col customWidth="1" min="2" max="7" width="19.29"/>
    <col customWidth="1" min="8" max="9" width="17.14"/>
    <col customWidth="1" min="10" max="11" width="18.14"/>
    <col customWidth="1" min="12" max="12" width="20.0"/>
    <col customWidth="1" min="13" max="26" width="8.71"/>
  </cols>
  <sheetData>
    <row r="1" ht="19.5" customHeight="1">
      <c r="A1" s="1" t="s">
        <v>0</v>
      </c>
      <c r="B1" s="2"/>
      <c r="C1" s="2"/>
      <c r="D1" s="2"/>
      <c r="E1" s="2"/>
      <c r="F1" s="2"/>
      <c r="G1" s="2"/>
      <c r="H1" s="2"/>
      <c r="I1" s="2"/>
      <c r="J1" s="2"/>
      <c r="K1" s="2"/>
      <c r="L1" s="4"/>
      <c r="M1" s="5"/>
      <c r="N1" s="5"/>
      <c r="O1" s="5"/>
      <c r="P1" s="5"/>
      <c r="Q1" s="5"/>
      <c r="R1" s="5"/>
      <c r="S1" s="5"/>
      <c r="T1" s="5"/>
      <c r="U1" s="5"/>
      <c r="V1" s="5"/>
      <c r="W1" s="5"/>
      <c r="X1" s="5"/>
      <c r="Y1" s="5"/>
      <c r="Z1" s="5"/>
    </row>
    <row r="2" ht="31.5" customHeight="1">
      <c r="A2" s="7" t="s">
        <v>2</v>
      </c>
      <c r="B2" s="2"/>
      <c r="C2" s="2"/>
      <c r="D2" s="2"/>
      <c r="E2" s="2"/>
      <c r="F2" s="2"/>
      <c r="G2" s="2"/>
      <c r="H2" s="2"/>
      <c r="I2" s="2"/>
      <c r="J2" s="2"/>
      <c r="K2" s="2"/>
      <c r="L2" s="4"/>
      <c r="M2" s="5"/>
      <c r="N2" s="5"/>
      <c r="O2" s="5"/>
      <c r="P2" s="5"/>
      <c r="Q2" s="5"/>
      <c r="R2" s="5"/>
      <c r="S2" s="5"/>
      <c r="T2" s="5"/>
      <c r="U2" s="5"/>
      <c r="V2" s="5"/>
      <c r="W2" s="5"/>
      <c r="X2" s="5"/>
      <c r="Y2" s="5"/>
      <c r="Z2" s="5"/>
    </row>
    <row r="3" ht="1.5" customHeight="1">
      <c r="A3" s="5"/>
      <c r="B3" s="5"/>
      <c r="C3" s="5"/>
      <c r="D3" s="5"/>
      <c r="E3" s="5"/>
      <c r="F3" s="5"/>
      <c r="G3" s="5"/>
      <c r="H3" s="5"/>
      <c r="I3" s="5"/>
      <c r="J3" s="5"/>
      <c r="K3" s="5"/>
      <c r="L3" s="5"/>
      <c r="M3" s="5"/>
      <c r="N3" s="5"/>
      <c r="O3" s="5"/>
      <c r="P3" s="5"/>
      <c r="Q3" s="5"/>
      <c r="R3" s="5"/>
      <c r="S3" s="5"/>
      <c r="T3" s="5"/>
      <c r="U3" s="5"/>
      <c r="V3" s="5"/>
      <c r="W3" s="5"/>
      <c r="X3" s="5"/>
      <c r="Y3" s="5"/>
      <c r="Z3" s="5"/>
    </row>
    <row r="4" ht="1.5" customHeight="1">
      <c r="A4" s="5"/>
      <c r="B4" s="8"/>
      <c r="M4" s="5"/>
      <c r="N4" s="5"/>
      <c r="O4" s="5"/>
      <c r="P4" s="5"/>
      <c r="Q4" s="5"/>
      <c r="R4" s="5"/>
      <c r="S4" s="5"/>
      <c r="T4" s="5"/>
      <c r="U4" s="5"/>
      <c r="V4" s="5"/>
      <c r="W4" s="5"/>
      <c r="X4" s="5"/>
      <c r="Y4" s="5"/>
      <c r="Z4" s="5"/>
    </row>
    <row r="5" ht="1.5" customHeight="1">
      <c r="A5" s="5"/>
      <c r="B5" s="5"/>
      <c r="C5" s="5"/>
      <c r="D5" s="5"/>
      <c r="E5" s="5"/>
      <c r="F5" s="5"/>
      <c r="G5" s="5"/>
      <c r="H5" s="5"/>
      <c r="I5" s="5"/>
      <c r="J5" s="5"/>
      <c r="K5" s="5"/>
      <c r="L5" s="5"/>
      <c r="M5" s="5"/>
      <c r="N5" s="5"/>
      <c r="O5" s="5"/>
      <c r="P5" s="5"/>
      <c r="Q5" s="5"/>
      <c r="R5" s="5"/>
      <c r="S5" s="5"/>
      <c r="T5" s="5"/>
      <c r="U5" s="5"/>
      <c r="V5" s="5"/>
      <c r="W5" s="5"/>
      <c r="X5" s="5"/>
      <c r="Y5" s="5"/>
      <c r="Z5" s="5"/>
    </row>
    <row r="6" ht="25.5" customHeight="1">
      <c r="A6" s="5"/>
      <c r="B6" s="11">
        <f>SUMIF($K$38:$K$363,"Chưa thanh toán",$J$38:$J$363)</f>
        <v>0</v>
      </c>
      <c r="C6" s="12"/>
      <c r="D6" s="17">
        <f>SUMIF($K$38:$K$363,"Đã thanh toán",$J$38:$J$363)</f>
        <v>630910000</v>
      </c>
      <c r="E6" s="12"/>
      <c r="F6" s="23">
        <f>SUM(H10:H33)</f>
        <v>630910000</v>
      </c>
      <c r="G6" s="12"/>
      <c r="H6" s="30">
        <f>SUM(I10:I33)</f>
        <v>141</v>
      </c>
      <c r="I6" s="12"/>
      <c r="J6" s="5"/>
      <c r="K6" s="5"/>
      <c r="L6" s="5"/>
      <c r="M6" s="5"/>
      <c r="N6" s="5"/>
      <c r="O6" s="5"/>
      <c r="P6" s="5"/>
      <c r="Q6" s="5"/>
      <c r="R6" s="5"/>
      <c r="S6" s="5"/>
      <c r="T6" s="5"/>
      <c r="U6" s="5"/>
      <c r="V6" s="5"/>
      <c r="W6" s="5"/>
      <c r="X6" s="5"/>
      <c r="Y6" s="5"/>
      <c r="Z6" s="5"/>
    </row>
    <row r="7" ht="13.5" customHeight="1">
      <c r="A7" s="5"/>
      <c r="B7" s="28" t="s">
        <v>31</v>
      </c>
      <c r="D7" s="28" t="s">
        <v>24</v>
      </c>
      <c r="F7" s="28" t="s">
        <v>32</v>
      </c>
      <c r="H7" s="28" t="s">
        <v>33</v>
      </c>
      <c r="J7" s="5"/>
      <c r="K7" s="5"/>
      <c r="L7" s="5"/>
      <c r="M7" s="5"/>
      <c r="N7" s="5"/>
      <c r="O7" s="5"/>
      <c r="P7" s="5"/>
      <c r="Q7" s="5"/>
      <c r="R7" s="5"/>
      <c r="S7" s="5"/>
      <c r="T7" s="5"/>
      <c r="U7" s="5"/>
      <c r="V7" s="5"/>
      <c r="W7" s="5"/>
      <c r="X7" s="5"/>
      <c r="Y7" s="5"/>
      <c r="Z7" s="5"/>
    </row>
    <row r="8" ht="21.75" customHeight="1">
      <c r="A8" s="5"/>
      <c r="B8" s="34" t="s">
        <v>34</v>
      </c>
      <c r="C8" s="2"/>
      <c r="D8" s="2"/>
      <c r="E8" s="2"/>
      <c r="F8" s="2"/>
      <c r="G8" s="2"/>
      <c r="H8" s="2"/>
      <c r="I8" s="4"/>
      <c r="J8" s="5"/>
      <c r="K8" s="5"/>
      <c r="L8" s="5"/>
      <c r="M8" s="5"/>
      <c r="N8" s="5"/>
      <c r="O8" s="5"/>
      <c r="P8" s="5"/>
      <c r="Q8" s="5"/>
      <c r="R8" s="5"/>
      <c r="S8" s="5"/>
      <c r="T8" s="5"/>
      <c r="U8" s="5"/>
      <c r="V8" s="5"/>
      <c r="W8" s="5"/>
      <c r="X8" s="5"/>
      <c r="Y8" s="5"/>
      <c r="Z8" s="5"/>
    </row>
    <row r="9" ht="35.25" customHeight="1">
      <c r="A9" s="5"/>
      <c r="B9" s="35" t="s">
        <v>7</v>
      </c>
      <c r="C9" s="35" t="s">
        <v>9</v>
      </c>
      <c r="D9" s="36" t="s">
        <v>36</v>
      </c>
      <c r="E9" s="36" t="s">
        <v>37</v>
      </c>
      <c r="F9" s="36" t="s">
        <v>38</v>
      </c>
      <c r="G9" s="36" t="s">
        <v>39</v>
      </c>
      <c r="H9" s="35" t="s">
        <v>40</v>
      </c>
      <c r="I9" s="35" t="s">
        <v>42</v>
      </c>
      <c r="J9" s="5"/>
      <c r="K9" s="5"/>
      <c r="L9" s="5"/>
      <c r="M9" s="5"/>
      <c r="N9" s="5"/>
      <c r="O9" s="5"/>
      <c r="P9" s="5"/>
      <c r="Q9" s="5"/>
      <c r="R9" s="5"/>
      <c r="S9" s="5"/>
      <c r="T9" s="5"/>
      <c r="U9" s="5"/>
      <c r="V9" s="5"/>
      <c r="W9" s="5"/>
      <c r="X9" s="5"/>
      <c r="Y9" s="5"/>
      <c r="Z9" s="5"/>
    </row>
    <row r="10" ht="15.0" customHeight="1">
      <c r="A10" s="5"/>
      <c r="B10" s="41">
        <v>1.0</v>
      </c>
      <c r="C10" s="41" t="s">
        <v>21</v>
      </c>
      <c r="D10" s="47">
        <f>SUMPRODUCT((ISNUMBER($B$38:$B$48))*(MONTH($B$38:$B$48)&gt;=1)*(MONTH($B$38:$B$48)&lt;=3)*(YEAR($B$38:$B$48)=2026)*N($C$38:$C$48))</f>
        <v>4</v>
      </c>
      <c r="E10" s="47">
        <f>SUMPRODUCT((ISNUMBER($B$38:$B$48))*(MONTH($B$38:$B$48)&gt;=4)*(MONTH($B$38:$B$48)&lt;=6)*(YEAR($B$38:$B$48)=2026)*N($C$38:$C$48))</f>
        <v>0</v>
      </c>
      <c r="F10" s="47">
        <f>SUMPRODUCT((ISNUMBER($B$38:$B$48))*(MONTH($B$38:$B$48)&gt;=7)*(MONTH($B$38:$B$48)&lt;=9)*(YEAR($B$38:$B$48)=2026)*N($C$38:$C$48))</f>
        <v>2</v>
      </c>
      <c r="G10" s="47">
        <f>SUMPRODUCT((ISNUMBER($B$38:$B$48))*(MONTH($B$38:$B$48)&gt;=10)*(MONTH($B$38:$B$48)&lt;=12)*(YEAR($B$38:$B$48)=2026)*N($C$38:$C$48))</f>
        <v>0</v>
      </c>
      <c r="H10" s="60">
        <f>SUM($J$38:$J$48)</f>
        <v>30100000</v>
      </c>
      <c r="I10" s="66">
        <f t="shared" ref="I10:I34" si="1">SUM($D10:$G10)</f>
        <v>6</v>
      </c>
      <c r="J10" s="5"/>
      <c r="K10" s="5"/>
      <c r="L10" s="5"/>
      <c r="M10" s="5"/>
      <c r="N10" s="5"/>
      <c r="O10" s="5"/>
      <c r="P10" s="5"/>
      <c r="Q10" s="5"/>
      <c r="R10" s="5"/>
      <c r="S10" s="5"/>
      <c r="T10" s="5"/>
      <c r="U10" s="5"/>
      <c r="V10" s="5"/>
      <c r="W10" s="5"/>
      <c r="X10" s="5"/>
      <c r="Y10" s="5"/>
      <c r="Z10" s="5"/>
    </row>
    <row r="11" ht="15.0" customHeight="1">
      <c r="A11" s="5"/>
      <c r="B11" s="41">
        <v>2.0</v>
      </c>
      <c r="C11" s="41" t="s">
        <v>55</v>
      </c>
      <c r="D11" s="47">
        <f>SUMPRODUCT((ISNUMBER($B$52:$B$62))*(MONTH($B$52:$B$62)&gt;=1)*(MONTH($B$52:$B$62)&lt;=3)*(YEAR($B$52:$B$62)=2026)*N($C$52:$C$62))</f>
        <v>4</v>
      </c>
      <c r="E11" s="47">
        <f>SUMPRODUCT((ISNUMBER($B$52:$B$62))*(MONTH($B$52:$B$62)&gt;=4)*(MONTH($B$52:$B$62)&lt;=6)*(YEAR($B$52:$B$62)=2026)*N($C$52:$C$62))</f>
        <v>2</v>
      </c>
      <c r="F11" s="47">
        <f>SUMPRODUCT((ISNUMBER($B$52:$B$62))*(MONTH($B$52:$B$62)&gt;=7)*(MONTH($B$52:$B$62)&lt;=9)*(YEAR($B$52:$B$62)=2026)*N($C$52:$C$62))</f>
        <v>2</v>
      </c>
      <c r="G11" s="47">
        <f>SUMPRODUCT((ISNUMBER($B$52:$B$62))*(MONTH($B$52:$B$62)&gt;=10)*(MONTH($B$52:$B$62)&lt;=12)*(YEAR($B$52:$B$62)=2026)*N($C$52:$C$62))</f>
        <v>0</v>
      </c>
      <c r="H11" s="60">
        <f>SUM($J$52:$J$62)</f>
        <v>17000000</v>
      </c>
      <c r="I11" s="66">
        <f t="shared" si="1"/>
        <v>8</v>
      </c>
      <c r="J11" s="5"/>
      <c r="K11" s="5"/>
      <c r="L11" s="5"/>
      <c r="M11" s="5"/>
      <c r="N11" s="5"/>
      <c r="O11" s="5"/>
      <c r="P11" s="5"/>
      <c r="Q11" s="5"/>
      <c r="R11" s="5"/>
      <c r="S11" s="5"/>
      <c r="T11" s="5"/>
      <c r="U11" s="5"/>
      <c r="V11" s="5"/>
      <c r="W11" s="5"/>
      <c r="X11" s="5"/>
      <c r="Y11" s="5"/>
      <c r="Z11" s="5"/>
    </row>
    <row r="12" ht="15.0" customHeight="1">
      <c r="A12" s="5"/>
      <c r="B12" s="41">
        <v>3.0</v>
      </c>
      <c r="C12" s="41" t="s">
        <v>57</v>
      </c>
      <c r="D12" s="47">
        <f>SUMPRODUCT((ISNUMBER($B$66:$B$75))*(MONTH($B$66:$B$75)&gt;=1)*(MONTH($B$66:$B$75)&lt;=3)*(YEAR($B$66:$B$75)=2026)*N($C$66:$C$75))</f>
        <v>4</v>
      </c>
      <c r="E12" s="47">
        <f>SUMPRODUCT((ISNUMBER($B$66:$B$75))*(MONTH($B$66:$B$75)&gt;=4)*(MONTH($B$66:$B$75)&lt;=6)*(YEAR($B$66:$B$75)=2026)*N($C$66:$C$75))</f>
        <v>4</v>
      </c>
      <c r="F12" s="47">
        <f>SUMPRODUCT((ISNUMBER($B$66:$B$75))*(MONTH($B$66:$B$75)&gt;=7)*(MONTH($B$66:$B$75)&lt;=9)*(YEAR($B$66:$B$75)=2026)*N($C$66:$C$75))</f>
        <v>0</v>
      </c>
      <c r="G12" s="47">
        <f>SUMPRODUCT((ISNUMBER($B$66:$B$75))*(MONTH($B$66:$B$75)&gt;=10)*(MONTH($B$66:$B$75)&lt;=12)*(YEAR($B$66:$B$75)=2026)*N($C$66:$C$75))</f>
        <v>0</v>
      </c>
      <c r="H12" s="60">
        <f>SUM($J$66:$J$75)</f>
        <v>34000000</v>
      </c>
      <c r="I12" s="66">
        <f t="shared" si="1"/>
        <v>8</v>
      </c>
      <c r="J12" s="5"/>
      <c r="K12" s="5"/>
      <c r="L12" s="5"/>
      <c r="M12" s="5"/>
      <c r="N12" s="5"/>
      <c r="O12" s="5"/>
      <c r="P12" s="5"/>
      <c r="Q12" s="5"/>
      <c r="R12" s="5"/>
      <c r="S12" s="5"/>
      <c r="T12" s="5"/>
      <c r="U12" s="5"/>
      <c r="V12" s="5"/>
      <c r="W12" s="5"/>
      <c r="X12" s="5"/>
      <c r="Y12" s="5"/>
      <c r="Z12" s="5"/>
    </row>
    <row r="13" ht="15.0" customHeight="1">
      <c r="A13" s="5"/>
      <c r="B13" s="41">
        <v>4.0</v>
      </c>
      <c r="C13" s="41" t="s">
        <v>60</v>
      </c>
      <c r="D13" s="47">
        <f>SUMPRODUCT((ISNUMBER($B$79:$B$91))*(MONTH($B$79:$B$91)&gt;=1)*(MONTH($B$79:$B$91)&lt;=3)*(YEAR($B$79:$B$91)=2026)*N($C$79:$C$91))</f>
        <v>7</v>
      </c>
      <c r="E13" s="47">
        <f>SUMPRODUCT((ISNUMBER($B$79:$B$91))*(MONTH($B$79:$B$91)&gt;=4)*(MONTH($B$79:$B$91)&lt;=6)*(YEAR($B$79:$B$91)=2026)*N($C$79:$C$91))</f>
        <v>3</v>
      </c>
      <c r="F13" s="47">
        <f>SUMPRODUCT((ISNUMBER($B$79:$B$91))*(MONTH($B$79:$B$91)&gt;=7)*(MONTH($B$79:$B$91)&lt;=9)*(YEAR($B$79:$B$91)=2026)*N($C$79:$C$91))</f>
        <v>4</v>
      </c>
      <c r="G13" s="47">
        <f>SUMPRODUCT((ISNUMBER($B$79:$B$91))*(MONTH($B$79:$B$91)&gt;=10)*(MONTH($B$79:$B$91)&lt;=12)*(YEAR($B$79:$B$91)=2026)*N($C$79:$C$91))</f>
        <v>0</v>
      </c>
      <c r="H13" s="60">
        <f>SUM($J$79:$J$91)</f>
        <v>47800000</v>
      </c>
      <c r="I13" s="66">
        <f t="shared" si="1"/>
        <v>14</v>
      </c>
      <c r="J13" s="5"/>
      <c r="K13" s="5"/>
      <c r="L13" s="5"/>
      <c r="M13" s="5"/>
      <c r="N13" s="5"/>
      <c r="O13" s="5"/>
      <c r="P13" s="5"/>
      <c r="Q13" s="5"/>
      <c r="R13" s="5"/>
      <c r="S13" s="5"/>
      <c r="T13" s="5"/>
      <c r="U13" s="5"/>
      <c r="V13" s="5"/>
      <c r="W13" s="5"/>
      <c r="X13" s="5"/>
      <c r="Y13" s="5"/>
      <c r="Z13" s="5"/>
    </row>
    <row r="14" ht="15.0" customHeight="1">
      <c r="A14" s="5"/>
      <c r="B14" s="41">
        <v>5.0</v>
      </c>
      <c r="C14" s="41" t="s">
        <v>63</v>
      </c>
      <c r="D14" s="47">
        <f>SUMPRODUCT((ISNUMBER($B$95:$B$104))*(MONTH($B$95:$B$104)&gt;=1)*(MONTH($B$95:$B$104)&lt;=3)*(YEAR($B$95:$B$104)=2026)*N($C$95:$C$104))</f>
        <v>0</v>
      </c>
      <c r="E14" s="47">
        <f>SUMPRODUCT((ISNUMBER($B$95:$B$104))*(MONTH($B$95:$B$104)&gt;=4)*(MONTH($B$95:$B$104)&lt;=6)*(YEAR($B$95:$B$104)=2026)*N($C$95:$C$104))</f>
        <v>2</v>
      </c>
      <c r="F14" s="47">
        <f>SUMPRODUCT((ISNUMBER($B$95:$B$104))*(MONTH($B$95:$B$104)&gt;=7)*(MONTH($B$95:$B$104)&lt;=9)*(YEAR($B$95:$B$104)=2026)*N($C$95:$C$104))</f>
        <v>1</v>
      </c>
      <c r="G14" s="47">
        <f>SUMPRODUCT((ISNUMBER($B$95:$B$104))*(MONTH($B$95:$B$104)&gt;=10)*(MONTH($B$95:$B$104)&lt;=12)*(YEAR($B$95:$B$104)=2026)*N($C$95:$C$104))</f>
        <v>0</v>
      </c>
      <c r="H14" s="60">
        <f>SUM($J$95:$J$104)</f>
        <v>9800000</v>
      </c>
      <c r="I14" s="66">
        <f t="shared" si="1"/>
        <v>3</v>
      </c>
      <c r="J14" s="5"/>
      <c r="K14" s="5"/>
      <c r="L14" s="5"/>
      <c r="M14" s="5"/>
      <c r="N14" s="5"/>
      <c r="O14" s="5"/>
      <c r="P14" s="5"/>
      <c r="Q14" s="5"/>
      <c r="R14" s="5"/>
      <c r="S14" s="5"/>
      <c r="T14" s="5"/>
      <c r="U14" s="5"/>
      <c r="V14" s="5"/>
      <c r="W14" s="5"/>
      <c r="X14" s="5"/>
      <c r="Y14" s="5"/>
      <c r="Z14" s="5"/>
    </row>
    <row r="15" ht="15.0" customHeight="1">
      <c r="A15" s="5"/>
      <c r="B15" s="41">
        <v>6.0</v>
      </c>
      <c r="C15" s="41" t="s">
        <v>66</v>
      </c>
      <c r="D15" s="47">
        <f>SUMPRODUCT((ISNUMBER($B$108:$B$119))*(MONTH($B$108:$B$119)&gt;=1)*(MONTH($B$108:$B$119)&lt;=3)*(YEAR($B$108:$B$119)=2026)*N($C$108:$C$119))</f>
        <v>6</v>
      </c>
      <c r="E15" s="47">
        <f>SUMPRODUCT((ISNUMBER($B$108:$B$119))*(MONTH($B$108:$B$119)&gt;=4)*(MONTH($B$108:$B$119)&lt;=6)*(YEAR($B$108:$B$119)=2026)*N($C$108:$C$119))</f>
        <v>6</v>
      </c>
      <c r="F15" s="47">
        <f>SUMPRODUCT((ISNUMBER($B$108:$B$119))*(MONTH($B$108:$B$119)&gt;=7)*(MONTH($B$108:$B$119)&lt;=9)*(YEAR($B$108:$B$119)=2026)*N($C$108:$C$119))</f>
        <v>0</v>
      </c>
      <c r="G15" s="47">
        <f>SUMPRODUCT((ISNUMBER($B$108:$B$119))*(MONTH($B$108:$B$119)&gt;=10)*(MONTH($B$108:$B$119)&lt;=12)*(YEAR($B$108:$B$119)=2026)*N($C$108:$C$119))</f>
        <v>0</v>
      </c>
      <c r="H15" s="60">
        <f>SUM($J$108:$J$119)</f>
        <v>75700000</v>
      </c>
      <c r="I15" s="66">
        <f t="shared" si="1"/>
        <v>12</v>
      </c>
      <c r="J15" s="5"/>
      <c r="K15" s="5"/>
      <c r="L15" s="5"/>
      <c r="M15" s="5"/>
      <c r="N15" s="5"/>
      <c r="O15" s="5"/>
      <c r="P15" s="5"/>
      <c r="Q15" s="5"/>
      <c r="R15" s="5"/>
      <c r="S15" s="5"/>
      <c r="T15" s="5"/>
      <c r="U15" s="5"/>
      <c r="V15" s="5"/>
      <c r="W15" s="5"/>
      <c r="X15" s="5"/>
      <c r="Y15" s="5"/>
      <c r="Z15" s="5"/>
    </row>
    <row r="16" ht="15.0" customHeight="1">
      <c r="A16" s="5"/>
      <c r="B16" s="41">
        <v>7.0</v>
      </c>
      <c r="C16" s="41" t="s">
        <v>68</v>
      </c>
      <c r="D16" s="47">
        <f>SUMPRODUCT((ISNUMBER($B$123:$B$136))*(MONTH($B$123:$B$136)&gt;=1)*(MONTH($B$123:$B$136)&lt;=3)*(YEAR($B$123:$B$136)=2026)*N($C$123:$C$136))</f>
        <v>10</v>
      </c>
      <c r="E16" s="47">
        <f>SUMPRODUCT((ISNUMBER($B$123:$B$136))*(MONTH($B$123:$B$136)&gt;=4)*(MONTH($B$123:$B$136)&lt;=6)*(YEAR($B$123:$B$136)=2026)*N($C$123:$C$136))</f>
        <v>2</v>
      </c>
      <c r="F16" s="47">
        <f>SUMPRODUCT((ISNUMBER($B$123:$B$136))*(MONTH($B$123:$B$136)&gt;=7)*(MONTH($B$123:$B$136)&lt;=9)*(YEAR($B$123:$B$136)=2026)*N($C$123:$C$136))</f>
        <v>2</v>
      </c>
      <c r="G16" s="47">
        <f>SUMPRODUCT((ISNUMBER($B$123:$B$136))*(MONTH($B$123:$B$136)&gt;=10)*(MONTH($B$123:$B$136)&lt;=12)*(YEAR($B$123:$B$136)=2026)*N($C$123:$C$136))</f>
        <v>0</v>
      </c>
      <c r="H16" s="60">
        <f>SUM($J$123:$J$136)</f>
        <v>55800000</v>
      </c>
      <c r="I16" s="66">
        <f t="shared" si="1"/>
        <v>14</v>
      </c>
      <c r="J16" s="5"/>
      <c r="K16" s="5"/>
      <c r="L16" s="5"/>
      <c r="M16" s="5"/>
      <c r="N16" s="5"/>
      <c r="O16" s="5"/>
      <c r="P16" s="5"/>
      <c r="Q16" s="5"/>
      <c r="R16" s="5"/>
      <c r="S16" s="5"/>
      <c r="T16" s="5"/>
      <c r="U16" s="5"/>
      <c r="V16" s="5"/>
      <c r="W16" s="5"/>
      <c r="X16" s="5"/>
      <c r="Y16" s="5"/>
      <c r="Z16" s="5"/>
    </row>
    <row r="17" ht="15.0" customHeight="1">
      <c r="A17" s="5"/>
      <c r="B17" s="41">
        <v>8.0</v>
      </c>
      <c r="C17" s="41" t="s">
        <v>70</v>
      </c>
      <c r="D17" s="47">
        <f>SUMPRODUCT((ISNUMBER($B$140:$B$155))*(MONTH($B$140:$B$155)&gt;=1)*(MONTH($B$140:$B$155)&lt;=3)*(YEAR($B$140:$B$155)=2026)*N($C$140:$C$155))</f>
        <v>6</v>
      </c>
      <c r="E17" s="47">
        <f>SUMPRODUCT((ISNUMBER($B$140:$B$155))*(MONTH($B$140:$B$155)&gt;=4)*(MONTH($B$140:$B$155)&lt;=6)*(YEAR($B$140:$B$155)=2026)*N($C$140:$C$155))</f>
        <v>4</v>
      </c>
      <c r="F17" s="47">
        <f>SUMPRODUCT((ISNUMBER($B$140:$B$155))*(MONTH($B$140:$B$155)&gt;=7)*(MONTH($B$140:$B$155)&lt;=9)*(YEAR($B$140:$B$155)=2026)*N($C$140:$C$155))</f>
        <v>6</v>
      </c>
      <c r="G17" s="47">
        <f>SUMPRODUCT((ISNUMBER($B$140:$B$155))*(MONTH($B$140:$B$155)&gt;=10)*(MONTH($B$140:$B$155)&lt;=12)*(YEAR($B$140:$B$155)=2026)*N($C$140:$C$155))</f>
        <v>0</v>
      </c>
      <c r="H17" s="60">
        <f>SUM($J$140:$J$155)</f>
        <v>74100000</v>
      </c>
      <c r="I17" s="66">
        <f t="shared" si="1"/>
        <v>16</v>
      </c>
      <c r="J17" s="5"/>
      <c r="K17" s="5"/>
      <c r="L17" s="5"/>
      <c r="M17" s="5"/>
      <c r="N17" s="5"/>
      <c r="O17" s="5"/>
      <c r="P17" s="5"/>
      <c r="Q17" s="5"/>
      <c r="R17" s="5"/>
      <c r="S17" s="5"/>
      <c r="T17" s="5"/>
      <c r="U17" s="5"/>
      <c r="V17" s="5"/>
      <c r="W17" s="5"/>
      <c r="X17" s="5"/>
      <c r="Y17" s="5"/>
      <c r="Z17" s="5"/>
    </row>
    <row r="18" ht="15.0" customHeight="1">
      <c r="A18" s="5"/>
      <c r="B18" s="41">
        <v>9.0</v>
      </c>
      <c r="C18" s="41" t="s">
        <v>77</v>
      </c>
      <c r="D18" s="47">
        <f>SUMPRODUCT((ISNUMBER($B$159:$B$170))*(MONTH($B$159:$B$170)&gt;=1)*(MONTH($B$159:$B$170)&lt;=3)*(YEAR($B$159:$B$170)=2026)*N($C$159:$C$170))</f>
        <v>10</v>
      </c>
      <c r="E18" s="47">
        <f>SUMPRODUCT((ISNUMBER($B$159:$B$170))*(MONTH($B$159:$B$170)&gt;=4)*(MONTH($B$159:$B$170)&lt;=6)*(YEAR($B$159:$B$170)=2026)*N($C$159:$C$170))</f>
        <v>4</v>
      </c>
      <c r="F18" s="47">
        <f>SUMPRODUCT((ISNUMBER($B$159:$B$170))*(MONTH($B$159:$B$170)&gt;=7)*(MONTH($B$159:$B$170)&lt;=9)*(YEAR($B$159:$B$170)=2026)*N($C$159:$C$170))</f>
        <v>4</v>
      </c>
      <c r="G18" s="47">
        <f>SUMPRODUCT((ISNUMBER($B$159:$B$170))*(MONTH($B$159:$B$170)&gt;=10)*(MONTH($B$159:$B$170)&lt;=12)*(YEAR($B$159:$B$170)=2026)*N($C$159:$C$170))</f>
        <v>0</v>
      </c>
      <c r="H18" s="60">
        <f>SUM($J$159:$J$170)</f>
        <v>86440000</v>
      </c>
      <c r="I18" s="66">
        <f t="shared" si="1"/>
        <v>18</v>
      </c>
      <c r="J18" s="5"/>
      <c r="K18" s="5"/>
      <c r="L18" s="5"/>
      <c r="M18" s="5"/>
      <c r="N18" s="5"/>
      <c r="O18" s="5"/>
      <c r="P18" s="5"/>
      <c r="Q18" s="5"/>
      <c r="R18" s="5"/>
      <c r="S18" s="5"/>
      <c r="T18" s="5"/>
      <c r="U18" s="5"/>
      <c r="V18" s="5"/>
      <c r="W18" s="5"/>
      <c r="X18" s="5"/>
      <c r="Y18" s="5"/>
      <c r="Z18" s="5"/>
    </row>
    <row r="19" ht="15.0" customHeight="1">
      <c r="A19" s="5"/>
      <c r="B19" s="41">
        <v>10.0</v>
      </c>
      <c r="C19" s="41" t="s">
        <v>80</v>
      </c>
      <c r="D19" s="47">
        <f>SUMPRODUCT((ISNUMBER($B$174:$B$188))*(MONTH($B$174:$B$188)&gt;=1)*(MONTH($B$174:$B$188)&lt;=3)*(YEAR($B$174:$B$188)=2026)*N($C$174:$C$188))</f>
        <v>10</v>
      </c>
      <c r="E19" s="47">
        <f>SUMPRODUCT((ISNUMBER($B$174:$B$188))*(MONTH($B$174:$B$188)&gt;=4)*(MONTH($B$174:$B$188)&lt;=6)*(YEAR($B$174:$B$188)=2026)*N($C$174:$C$188))</f>
        <v>4</v>
      </c>
      <c r="F19" s="47">
        <f>SUMPRODUCT((ISNUMBER($B$174:$B$188))*(MONTH($B$174:$B$188)&gt;=7)*(MONTH($B$174:$B$188)&lt;=9)*(YEAR($B$174:$B$188)=2026)*N($C$174:$C$188))</f>
        <v>6</v>
      </c>
      <c r="G19" s="47">
        <f>SUMPRODUCT((ISNUMBER($B$174:$B$188))*(MONTH($B$174:$B$188)&gt;=10)*(MONTH($B$174:$B$188)&lt;=12)*(YEAR($B$174:$B$188)=2026)*N($C$174:$C$188))</f>
        <v>0</v>
      </c>
      <c r="H19" s="60">
        <f>SUM($J$174:$J$188)</f>
        <v>77900000</v>
      </c>
      <c r="I19" s="66">
        <f t="shared" si="1"/>
        <v>20</v>
      </c>
      <c r="J19" s="5"/>
      <c r="K19" s="5"/>
      <c r="L19" s="5"/>
      <c r="M19" s="5"/>
      <c r="N19" s="5"/>
      <c r="O19" s="5"/>
      <c r="P19" s="5"/>
      <c r="Q19" s="5"/>
      <c r="R19" s="5"/>
      <c r="S19" s="5"/>
      <c r="T19" s="5"/>
      <c r="U19" s="5"/>
      <c r="V19" s="5"/>
      <c r="W19" s="5"/>
      <c r="X19" s="5"/>
      <c r="Y19" s="5"/>
      <c r="Z19" s="5"/>
    </row>
    <row r="20" ht="15.0" customHeight="1">
      <c r="A20" s="5"/>
      <c r="B20" s="41">
        <v>11.0</v>
      </c>
      <c r="C20" s="41" t="s">
        <v>83</v>
      </c>
      <c r="D20" s="47">
        <f>SUMPRODUCT((ISNUMBER($B$192:$B$200))*(MONTH($B$192:$B$200)&gt;=1)*(MONTH($B$192:$B$200)&lt;=3)*(YEAR($B$192:$B$200)=2026)*N($C$192:$C$200))</f>
        <v>0</v>
      </c>
      <c r="E20" s="47">
        <f>SUMPRODUCT((ISNUMBER($B$192:$B$200))*(MONTH($B$192:$B$200)&gt;=4)*(MONTH($B$192:$B$200)&lt;=6)*(YEAR($B$192:$B$200)=2026)*N($C$192:$C$200))</f>
        <v>0</v>
      </c>
      <c r="F20" s="47">
        <f>SUMPRODUCT((ISNUMBER($B$192:$B$200))*(MONTH($B$192:$B$200)&gt;=7)*(MONTH($B$192:$B$200)&lt;=9)*(YEAR($B$192:$B$200)=2026)*N($C$192:$C$200))</f>
        <v>0</v>
      </c>
      <c r="G20" s="47">
        <f>SUMPRODUCT((ISNUMBER($B$192:$B$200))*(MONTH($B$192:$B$200)&gt;=10)*(MONTH($B$192:$B$200)&lt;=12)*(YEAR($B$192:$B$200)=2026)*N($C$192:$C$200))</f>
        <v>0</v>
      </c>
      <c r="H20" s="60">
        <f>SUM($J$192:$J$200)</f>
        <v>0</v>
      </c>
      <c r="I20" s="66">
        <f t="shared" si="1"/>
        <v>0</v>
      </c>
      <c r="J20" s="5"/>
      <c r="K20" s="5"/>
      <c r="L20" s="5"/>
      <c r="M20" s="5"/>
      <c r="N20" s="5"/>
      <c r="O20" s="5"/>
      <c r="P20" s="5"/>
      <c r="Q20" s="5"/>
      <c r="R20" s="5"/>
      <c r="S20" s="5"/>
      <c r="T20" s="5"/>
      <c r="U20" s="5"/>
      <c r="V20" s="5"/>
      <c r="W20" s="5"/>
      <c r="X20" s="5"/>
      <c r="Y20" s="5"/>
      <c r="Z20" s="5"/>
    </row>
    <row r="21" ht="15.0" customHeight="1">
      <c r="A21" s="5"/>
      <c r="B21" s="41">
        <v>12.0</v>
      </c>
      <c r="C21" s="41" t="s">
        <v>85</v>
      </c>
      <c r="D21" s="47">
        <f>SUMPRODUCT((ISNUMBER($B$204:$B$212))*(MONTH($B$204:$B$212)&gt;=1)*(MONTH($B$204:$B$212)&lt;=3)*(YEAR($B$204:$B$212)=2026)*N($C$204:$C$212))</f>
        <v>0</v>
      </c>
      <c r="E21" s="47">
        <f>SUMPRODUCT((ISNUMBER($B$204:$B$212))*(MONTH($B$204:$B$212)&gt;=4)*(MONTH($B$204:$B$212)&lt;=6)*(YEAR($B$204:$B$212)=2026)*N($C$204:$C$212))</f>
        <v>2</v>
      </c>
      <c r="F21" s="47">
        <f>SUMPRODUCT((ISNUMBER($B$204:$B$212))*(MONTH($B$204:$B$212)&gt;=7)*(MONTH($B$204:$B$212)&lt;=9)*(YEAR($B$204:$B$212)=2026)*N($C$204:$C$212))</f>
        <v>0</v>
      </c>
      <c r="G21" s="47">
        <f>SUMPRODUCT((ISNUMBER($B$204:$B$212))*(MONTH($B$204:$B$212)&gt;=10)*(MONTH($B$204:$B$212)&lt;=12)*(YEAR($B$204:$B$212)=2026)*N($C$204:$C$212))</f>
        <v>0</v>
      </c>
      <c r="H21" s="60">
        <f>SUM($J$204:$J$212)</f>
        <v>11860000</v>
      </c>
      <c r="I21" s="66">
        <f t="shared" si="1"/>
        <v>2</v>
      </c>
      <c r="J21" s="5"/>
      <c r="K21" s="5"/>
      <c r="L21" s="5"/>
      <c r="M21" s="5"/>
      <c r="N21" s="5"/>
      <c r="O21" s="5"/>
      <c r="P21" s="5"/>
      <c r="Q21" s="5"/>
      <c r="R21" s="5"/>
      <c r="S21" s="5"/>
      <c r="T21" s="5"/>
      <c r="U21" s="5"/>
      <c r="V21" s="5"/>
      <c r="W21" s="5"/>
      <c r="X21" s="5"/>
      <c r="Y21" s="5"/>
      <c r="Z21" s="5"/>
    </row>
    <row r="22" ht="15.0" customHeight="1">
      <c r="A22" s="5"/>
      <c r="B22" s="41">
        <v>13.0</v>
      </c>
      <c r="C22" s="41" t="s">
        <v>91</v>
      </c>
      <c r="D22" s="47">
        <f>SUMPRODUCT((ISNUMBER($B$216:$B$224))*(MONTH($B$216:$B$224)&gt;=1)*(MONTH($B$216:$B$224)&lt;=3)*(YEAR($B$216:$B$224)=2026)*N($C$216:$C$224))</f>
        <v>0</v>
      </c>
      <c r="E22" s="47">
        <f>SUMPRODUCT((ISNUMBER($B$216:$B$224))*(MONTH($B$216:$B$224)&gt;=4)*(MONTH($B$216:$B$224)&lt;=6)*(YEAR($B$216:$B$224)=2026)*N($C$216:$C$224))</f>
        <v>2</v>
      </c>
      <c r="F22" s="47">
        <f>SUMPRODUCT((ISNUMBER($B$216:$B$224))*(MONTH($B$216:$B$224)&gt;=7)*(MONTH($B$216:$B$224)&lt;=9)*(YEAR($B$216:$B$224)=2026)*N($C$216:$C$224))</f>
        <v>0</v>
      </c>
      <c r="G22" s="47">
        <f>SUMPRODUCT((ISNUMBER($B$216:$B$224))*(MONTH($B$216:$B$224)&gt;=10)*(MONTH($B$216:$B$224)&lt;=12)*(YEAR($B$216:$B$224)=2026)*N($C$216:$C$224))</f>
        <v>0</v>
      </c>
      <c r="H22" s="60">
        <f>SUM($J$216:$J$224)</f>
        <v>11600000</v>
      </c>
      <c r="I22" s="66">
        <f t="shared" si="1"/>
        <v>2</v>
      </c>
      <c r="J22" s="5"/>
      <c r="K22" s="5"/>
      <c r="L22" s="5"/>
      <c r="M22" s="5"/>
      <c r="N22" s="5"/>
      <c r="O22" s="5"/>
      <c r="P22" s="5"/>
      <c r="Q22" s="5"/>
      <c r="R22" s="5"/>
      <c r="S22" s="5"/>
      <c r="T22" s="5"/>
      <c r="U22" s="5"/>
      <c r="V22" s="5"/>
      <c r="W22" s="5"/>
      <c r="X22" s="5"/>
      <c r="Y22" s="5"/>
      <c r="Z22" s="5"/>
    </row>
    <row r="23" ht="15.0" customHeight="1">
      <c r="A23" s="5"/>
      <c r="B23" s="41">
        <v>14.0</v>
      </c>
      <c r="C23" s="41" t="s">
        <v>87</v>
      </c>
      <c r="D23" s="47">
        <f>SUMPRODUCT((ISNUMBER($B$228:$B$236))*(MONTH($B$228:$B$236)&gt;=1)*(MONTH($B$228:$B$236)&lt;=3)*(YEAR($B$228:$B$236)=2026)*N($C$228:$C$236))</f>
        <v>0</v>
      </c>
      <c r="E23" s="47">
        <f>SUMPRODUCT((ISNUMBER($B$228:$B$236))*(MONTH($B$228:$B$236)&gt;=4)*(MONTH($B$228:$B$236)&lt;=6)*(YEAR($B$228:$B$236)=2026)*N($C$228:$C$236))</f>
        <v>0</v>
      </c>
      <c r="F23" s="47">
        <f>SUMPRODUCT((ISNUMBER($B$228:$B$236))*(MONTH($B$228:$B$236)&gt;=7)*(MONTH($B$228:$B$236)&lt;=9)*(YEAR($B$228:$B$236)=2026)*N($C$228:$C$236))</f>
        <v>0</v>
      </c>
      <c r="G23" s="47">
        <f>SUMPRODUCT((ISNUMBER($B$228:$B$236))*(MONTH($B$228:$B$236)&gt;=10)*(MONTH($B$228:$B$236)&lt;=12)*(YEAR($B$228:$B$236)=2026)*N($C$228:$C$236))</f>
        <v>0</v>
      </c>
      <c r="H23" s="60">
        <f>SUM($J$228:$J$236)</f>
        <v>0</v>
      </c>
      <c r="I23" s="66">
        <f t="shared" si="1"/>
        <v>0</v>
      </c>
      <c r="J23" s="5"/>
      <c r="K23" s="5"/>
      <c r="L23" s="5"/>
      <c r="M23" s="5"/>
      <c r="N23" s="5"/>
      <c r="O23" s="5"/>
      <c r="P23" s="5"/>
      <c r="Q23" s="5"/>
      <c r="R23" s="5"/>
      <c r="S23" s="5"/>
      <c r="T23" s="5"/>
      <c r="U23" s="5"/>
      <c r="V23" s="5"/>
      <c r="W23" s="5"/>
      <c r="X23" s="5"/>
      <c r="Y23" s="5"/>
      <c r="Z23" s="5"/>
    </row>
    <row r="24" ht="15.0" customHeight="1">
      <c r="A24" s="5"/>
      <c r="B24" s="41">
        <v>15.0</v>
      </c>
      <c r="C24" s="41" t="s">
        <v>101</v>
      </c>
      <c r="D24" s="47">
        <f>SUMPRODUCT((ISNUMBER($B$240:$B$248))*(MONTH($B$240:$B$248)&gt;=1)*(MONTH($B$240:$B$248)&lt;=3)*(YEAR($B$240:$B$248)=2026)*N($C$240:$C$248))</f>
        <v>0</v>
      </c>
      <c r="E24" s="47">
        <f>SUMPRODUCT((ISNUMBER($B$240:$B$248))*(MONTH($B$240:$B$248)&gt;=4)*(MONTH($B$240:$B$248)&lt;=6)*(YEAR($B$240:$B$248)=2026)*N($C$240:$C$248))</f>
        <v>0</v>
      </c>
      <c r="F24" s="47">
        <f>SUMPRODUCT((ISNUMBER($B$240:$B$248))*(MONTH($B$240:$B$248)&gt;=7)*(MONTH($B$240:$B$248)&lt;=9)*(YEAR($B$240:$B$248)=2026)*N($C$240:$C$248))</f>
        <v>0</v>
      </c>
      <c r="G24" s="47">
        <f>SUMPRODUCT((ISNUMBER($B$240:$B$248))*(MONTH($B$240:$B$248)&gt;=10)*(MONTH($B$240:$B$248)&lt;=12)*(YEAR($B$240:$B$248)=2026)*N($C$240:$C$248))</f>
        <v>0</v>
      </c>
      <c r="H24" s="60">
        <f>SUM($J$240:$J$248)</f>
        <v>0</v>
      </c>
      <c r="I24" s="66">
        <f t="shared" si="1"/>
        <v>0</v>
      </c>
      <c r="J24" s="5"/>
      <c r="K24" s="5"/>
      <c r="L24" s="5"/>
      <c r="M24" s="5"/>
      <c r="N24" s="5"/>
      <c r="O24" s="5"/>
      <c r="P24" s="5"/>
      <c r="Q24" s="5"/>
      <c r="R24" s="5"/>
      <c r="S24" s="5"/>
      <c r="T24" s="5"/>
      <c r="U24" s="5"/>
      <c r="V24" s="5"/>
      <c r="W24" s="5"/>
      <c r="X24" s="5"/>
      <c r="Y24" s="5"/>
      <c r="Z24" s="5"/>
    </row>
    <row r="25" ht="15.0" customHeight="1">
      <c r="A25" s="5"/>
      <c r="B25" s="41">
        <v>16.0</v>
      </c>
      <c r="C25" s="41" t="s">
        <v>98</v>
      </c>
      <c r="D25" s="47">
        <f>SUMPRODUCT((ISNUMBER($B$252:$B$260))*(MONTH($B$252:$B$260)&gt;=1)*(MONTH($B$252:$B$260)&lt;=3)*(YEAR($B$252:$B$260)=2026)*N($C$252:$C$260))</f>
        <v>0</v>
      </c>
      <c r="E25" s="47">
        <f>SUMPRODUCT((ISNUMBER($B$252:$B$260))*(MONTH($B$252:$B$260)&gt;=4)*(MONTH($B$252:$B$260)&lt;=6)*(YEAR($B$252:$B$260)=2026)*N($C$252:$C$260))</f>
        <v>0</v>
      </c>
      <c r="F25" s="47">
        <f>SUMPRODUCT((ISNUMBER($B$252:$B$260))*(MONTH($B$252:$B$260)&gt;=7)*(MONTH($B$252:$B$260)&lt;=9)*(YEAR($B$252:$B$260)=2026)*N($C$252:$C$260))</f>
        <v>0</v>
      </c>
      <c r="G25" s="47">
        <f>SUMPRODUCT((ISNUMBER($B$252:$B$260))*(MONTH($B$252:$B$260)&gt;=10)*(MONTH($B$252:$B$260)&lt;=12)*(YEAR($B$252:$B$260)=2026)*N($C$252:$C$260))</f>
        <v>0</v>
      </c>
      <c r="H25" s="60">
        <f>SUM($J$252:$J$260)</f>
        <v>0</v>
      </c>
      <c r="I25" s="66">
        <f t="shared" si="1"/>
        <v>0</v>
      </c>
      <c r="J25" s="5"/>
      <c r="K25" s="5"/>
      <c r="L25" s="5"/>
      <c r="M25" s="5"/>
      <c r="N25" s="5"/>
      <c r="O25" s="5"/>
      <c r="P25" s="5"/>
      <c r="Q25" s="5"/>
      <c r="R25" s="5"/>
      <c r="S25" s="5"/>
      <c r="T25" s="5"/>
      <c r="U25" s="5"/>
      <c r="V25" s="5"/>
      <c r="W25" s="5"/>
      <c r="X25" s="5"/>
      <c r="Y25" s="5"/>
      <c r="Z25" s="5"/>
    </row>
    <row r="26" ht="15.0" customHeight="1">
      <c r="A26" s="5"/>
      <c r="B26" s="41">
        <v>17.0</v>
      </c>
      <c r="C26" s="41" t="s">
        <v>96</v>
      </c>
      <c r="D26" s="47">
        <f>SUMPRODUCT((ISNUMBER($B$264:$B$272))*(MONTH($B$264:$B$272)&gt;=1)*(MONTH($B$264:$B$272)&lt;=3)*(YEAR($B$264:$B$272)=2026)*N($C$264:$C$272))</f>
        <v>0</v>
      </c>
      <c r="E26" s="47">
        <f>SUMPRODUCT((ISNUMBER($B$264:$B$272))*(MONTH($B$264:$B$272)&gt;=4)*(MONTH($B$264:$B$272)&lt;=6)*(YEAR($B$264:$B$272)=2026)*N($C$264:$C$272))</f>
        <v>0</v>
      </c>
      <c r="F26" s="47">
        <f>SUMPRODUCT((ISNUMBER($B$264:$B$272))*(MONTH($B$264:$B$272)&gt;=7)*(MONTH($B$264:$B$272)&lt;=9)*(YEAR($B$264:$B$272)=2026)*N($C$264:$C$272))</f>
        <v>0</v>
      </c>
      <c r="G26" s="47">
        <f>SUMPRODUCT((ISNUMBER($B$264:$B$272))*(MONTH($B$264:$B$272)&gt;=10)*(MONTH($B$264:$B$272)&lt;=12)*(YEAR($B$264:$B$272)=2026)*N($C$264:$C$272))</f>
        <v>0</v>
      </c>
      <c r="H26" s="60">
        <f>SUM($J$264:$J$272)</f>
        <v>0</v>
      </c>
      <c r="I26" s="66">
        <f t="shared" si="1"/>
        <v>0</v>
      </c>
      <c r="J26" s="5"/>
      <c r="K26" s="5"/>
      <c r="L26" s="5"/>
      <c r="M26" s="5"/>
      <c r="N26" s="5"/>
      <c r="O26" s="5"/>
      <c r="P26" s="5"/>
      <c r="Q26" s="5"/>
      <c r="R26" s="5"/>
      <c r="S26" s="5"/>
      <c r="T26" s="5"/>
      <c r="U26" s="5"/>
      <c r="V26" s="5"/>
      <c r="W26" s="5"/>
      <c r="X26" s="5"/>
      <c r="Y26" s="5"/>
      <c r="Z26" s="5"/>
    </row>
    <row r="27" ht="15.0" customHeight="1">
      <c r="A27" s="5"/>
      <c r="B27" s="41">
        <v>18.0</v>
      </c>
      <c r="C27" s="41" t="s">
        <v>94</v>
      </c>
      <c r="D27" s="47">
        <f>SUMPRODUCT((ISNUMBER($B$276:$B$286))*(MONTH($B$276:$B$286)&gt;=1)*(MONTH($B$276:$B$286)&lt;=3)*(YEAR($B$276:$B$286)=2026)*N($C$276:$C$286))</f>
        <v>2</v>
      </c>
      <c r="E27" s="47">
        <f>SUMPRODUCT((ISNUMBER($B$276:$B$286))*(MONTH($B$276:$B$286)&gt;=4)*(MONTH($B$276:$B$286)&lt;=6)*(YEAR($B$276:$B$286)=2026)*N($C$276:$C$286))</f>
        <v>0</v>
      </c>
      <c r="F27" s="47">
        <f>SUMPRODUCT((ISNUMBER($B$276:$B$286))*(MONTH($B$276:$B$286)&gt;=7)*(MONTH($B$276:$B$286)&lt;=9)*(YEAR($B$276:$B$286)=2026)*N($C$276:$C$286))</f>
        <v>2</v>
      </c>
      <c r="G27" s="47">
        <f>SUMPRODUCT((ISNUMBER($B$276:$B$286))*(MONTH($B$276:$B$286)&gt;=10)*(MONTH($B$276:$B$286)&lt;=12)*(YEAR($B$276:$B$286)=2026)*N($C$276:$C$286))</f>
        <v>0</v>
      </c>
      <c r="H27" s="60">
        <f>SUM($J$276:$J$286)</f>
        <v>31560000</v>
      </c>
      <c r="I27" s="66">
        <f t="shared" si="1"/>
        <v>4</v>
      </c>
      <c r="J27" s="5"/>
      <c r="K27" s="5"/>
      <c r="L27" s="5"/>
      <c r="M27" s="5"/>
      <c r="N27" s="5"/>
      <c r="O27" s="5"/>
      <c r="P27" s="5"/>
      <c r="Q27" s="5"/>
      <c r="R27" s="5"/>
      <c r="S27" s="5"/>
      <c r="T27" s="5"/>
      <c r="U27" s="5"/>
      <c r="V27" s="5"/>
      <c r="W27" s="5"/>
      <c r="X27" s="5"/>
      <c r="Y27" s="5"/>
      <c r="Z27" s="5"/>
    </row>
    <row r="28" ht="15.0" customHeight="1">
      <c r="A28" s="5"/>
      <c r="B28" s="41">
        <v>19.0</v>
      </c>
      <c r="C28" s="41" t="s">
        <v>108</v>
      </c>
      <c r="D28" s="47">
        <f>SUMPRODUCT((ISNUMBER($B$290:$B$298))*(MONTH($B$290:$B$298)&gt;=1)*(MONTH($B$290:$B$298)&lt;=3)*(YEAR($B$290:$B$298)=2026)*N($C$290:$C$298))</f>
        <v>0</v>
      </c>
      <c r="E28" s="47">
        <f>SUMPRODUCT((ISNUMBER($B$290:$B$298))*(MONTH($B$290:$B$298)&gt;=4)*(MONTH($B$290:$B$298)&lt;=6)*(YEAR($B$290:$B$298)=2026)*N($C$290:$C$298))</f>
        <v>0</v>
      </c>
      <c r="F28" s="47">
        <f>SUMPRODUCT((ISNUMBER($B$290:$B$298))*(MONTH($B$290:$B$298)&gt;=7)*(MONTH($B$290:$B$298)&lt;=9)*(YEAR($B$290:$B$298)=2026)*N($C$290:$C$298))</f>
        <v>0</v>
      </c>
      <c r="G28" s="47">
        <f>SUMPRODUCT((ISNUMBER($B$290:$B$298))*(MONTH($B$290:$B$298)&gt;=10)*(MONTH($B$290:$B$298)&lt;=12)*(YEAR($B$290:$B$298)=2026)*N($C$290:$C$298))</f>
        <v>0</v>
      </c>
      <c r="H28" s="60">
        <f>SUM($J$290:$J$298)</f>
        <v>0</v>
      </c>
      <c r="I28" s="66">
        <f t="shared" si="1"/>
        <v>0</v>
      </c>
      <c r="J28" s="5"/>
      <c r="K28" s="5"/>
      <c r="L28" s="5"/>
      <c r="M28" s="5"/>
      <c r="N28" s="5"/>
      <c r="O28" s="5"/>
      <c r="P28" s="5"/>
      <c r="Q28" s="5"/>
      <c r="R28" s="5"/>
      <c r="S28" s="5"/>
      <c r="T28" s="5"/>
      <c r="U28" s="5"/>
      <c r="V28" s="5"/>
      <c r="W28" s="5"/>
      <c r="X28" s="5"/>
      <c r="Y28" s="5"/>
      <c r="Z28" s="5"/>
    </row>
    <row r="29" ht="15.0" customHeight="1">
      <c r="A29" s="5"/>
      <c r="B29" s="41">
        <v>20.0</v>
      </c>
      <c r="C29" s="41" t="s">
        <v>104</v>
      </c>
      <c r="D29" s="47">
        <f>SUMPRODUCT((ISNUMBER($B$302:$B$310))*(MONTH($B$302:$B$310)&gt;=1)*(MONTH($B$302:$B$310)&lt;=3)*(YEAR($B$302:$B$310)=2026)*N($C$302:$C$310))</f>
        <v>0</v>
      </c>
      <c r="E29" s="47">
        <f>SUMPRODUCT((ISNUMBER($B$302:$B$310))*(MONTH($B$302:$B$310)&gt;=4)*(MONTH($B$302:$B$310)&lt;=6)*(YEAR($B$302:$B$310)=2026)*N($C$302:$C$310))</f>
        <v>0</v>
      </c>
      <c r="F29" s="47">
        <f>SUMPRODUCT((ISNUMBER($B$302:$B$310))*(MONTH($B$302:$B$310)&gt;=7)*(MONTH($B$302:$B$310)&lt;=9)*(YEAR($B$302:$B$310)=2026)*N($C$302:$C$310))</f>
        <v>0</v>
      </c>
      <c r="G29" s="47">
        <f>SUMPRODUCT((ISNUMBER($B$302:$B$310))*(MONTH($B$302:$B$310)&gt;=10)*(MONTH($B$302:$B$310)&lt;=12)*(YEAR($B$302:$B$310)=2026)*N($C$302:$C$310))</f>
        <v>0</v>
      </c>
      <c r="H29" s="60">
        <f>SUM($J$302:$J$310)</f>
        <v>0</v>
      </c>
      <c r="I29" s="66">
        <f t="shared" si="1"/>
        <v>0</v>
      </c>
      <c r="J29" s="5"/>
      <c r="K29" s="5"/>
      <c r="L29" s="5"/>
      <c r="M29" s="5"/>
      <c r="N29" s="5"/>
      <c r="O29" s="5"/>
      <c r="P29" s="5"/>
      <c r="Q29" s="5"/>
      <c r="R29" s="5"/>
      <c r="S29" s="5"/>
      <c r="T29" s="5"/>
      <c r="U29" s="5"/>
      <c r="V29" s="5"/>
      <c r="W29" s="5"/>
      <c r="X29" s="5"/>
      <c r="Y29" s="5"/>
      <c r="Z29" s="5"/>
    </row>
    <row r="30" ht="15.0" customHeight="1">
      <c r="A30" s="5"/>
      <c r="B30" s="41">
        <v>21.0</v>
      </c>
      <c r="C30" s="41" t="s">
        <v>75</v>
      </c>
      <c r="D30" s="47">
        <f>SUMPRODUCT((ISNUMBER($B$314:$B$323))*(MONTH($B$314:$B$323)&gt;=1)*(MONTH($B$314:$B$323)&lt;=3)*(YEAR($B$314:$B$323)=2026)*N($C$314:$C$323))</f>
        <v>2</v>
      </c>
      <c r="E30" s="47">
        <f>SUMPRODUCT((ISNUMBER($B$314:$B$323))*(MONTH($B$314:$B$323)&gt;=4)*(MONTH($B$314:$B$323)&lt;=6)*(YEAR($B$314:$B$323)=2026)*N($C$314:$C$323))</f>
        <v>2</v>
      </c>
      <c r="F30" s="47">
        <f>SUMPRODUCT((ISNUMBER($B$314:$B$323))*(MONTH($B$314:$B$323)&gt;=7)*(MONTH($B$314:$B$323)&lt;=9)*(YEAR($B$314:$B$323)=2026)*N($C$314:$C$323))</f>
        <v>2</v>
      </c>
      <c r="G30" s="47">
        <f>SUMPRODUCT((ISNUMBER($B$314:$B$323))*(MONTH($B$314:$B$323)&gt;=10)*(MONTH($B$314:$B$323)&lt;=12)*(YEAR($B$314:$B$323)=2026)*N($C$314:$C$323))</f>
        <v>0</v>
      </c>
      <c r="H30" s="60">
        <f>SUM($J$314:$J$323)</f>
        <v>31050000</v>
      </c>
      <c r="I30" s="66">
        <f t="shared" si="1"/>
        <v>6</v>
      </c>
      <c r="J30" s="5"/>
      <c r="K30" s="5"/>
      <c r="L30" s="5"/>
      <c r="M30" s="5"/>
      <c r="N30" s="5"/>
      <c r="O30" s="5"/>
      <c r="P30" s="5"/>
      <c r="Q30" s="5"/>
      <c r="R30" s="5"/>
      <c r="S30" s="5"/>
      <c r="T30" s="5"/>
      <c r="U30" s="5"/>
      <c r="V30" s="5"/>
      <c r="W30" s="5"/>
      <c r="X30" s="5"/>
      <c r="Y30" s="5"/>
      <c r="Z30" s="5"/>
    </row>
    <row r="31" ht="15.0" customHeight="1">
      <c r="A31" s="5"/>
      <c r="B31" s="41">
        <v>22.0</v>
      </c>
      <c r="C31" s="41" t="s">
        <v>163</v>
      </c>
      <c r="D31" s="47">
        <f>SUMPRODUCT((ISNUMBER($B$327:$B$339))*(MONTH($B$327:$B$339)&gt;=1)*(MONTH($B$327:$B$339)&lt;=3)*(YEAR($B$327:$B$339)=2026)*N($C$327:$C$339))</f>
        <v>6</v>
      </c>
      <c r="E31" s="47">
        <f>SUMPRODUCT((ISNUMBER($B$327:$B$339))*(MONTH($B$327:$B$339)&gt;=4)*(MONTH($B$327:$B$339)&lt;=6)*(YEAR($B$327:$B$339)=2026)*N($C$327:$C$339))</f>
        <v>2</v>
      </c>
      <c r="F31" s="47">
        <f>SUMPRODUCT((ISNUMBER($B$327:$B$339))*(MONTH($B$327:$B$339)&gt;=7)*(MONTH($B$327:$B$339)&lt;=9)*(YEAR($B$327:$B$339)=2026)*N($C$327:$C$339))</f>
        <v>0</v>
      </c>
      <c r="G31" s="47">
        <f>SUMPRODUCT((ISNUMBER($B$327:$B$339))*(MONTH($B$327:$B$339)&gt;=10)*(MONTH($B$327:$B$339)&lt;=12)*(YEAR($B$327:$B$339)=2026)*N($C$327:$C$339))</f>
        <v>0</v>
      </c>
      <c r="H31" s="60">
        <f>SUM($J$327:$J$339)</f>
        <v>36200000</v>
      </c>
      <c r="I31" s="66">
        <f t="shared" si="1"/>
        <v>8</v>
      </c>
      <c r="J31" s="5"/>
      <c r="K31" s="5"/>
      <c r="L31" s="5"/>
      <c r="M31" s="5"/>
      <c r="N31" s="5"/>
      <c r="O31" s="5"/>
      <c r="P31" s="5"/>
      <c r="Q31" s="5"/>
      <c r="R31" s="5"/>
      <c r="S31" s="5"/>
      <c r="T31" s="5"/>
      <c r="U31" s="5"/>
      <c r="V31" s="5"/>
      <c r="W31" s="5"/>
      <c r="X31" s="5"/>
      <c r="Y31" s="5"/>
      <c r="Z31" s="5"/>
    </row>
    <row r="32" ht="15.0" customHeight="1">
      <c r="A32" s="5"/>
      <c r="B32" s="41">
        <v>23.0</v>
      </c>
      <c r="C32" s="41" t="s">
        <v>114</v>
      </c>
      <c r="D32" s="47">
        <f>SUMPRODUCT((ISNUMBER($B$343:$B$351))*(MONTH($B$343:$B$351)&gt;=1)*(MONTH($B$343:$B$351)&lt;=3)*(YEAR($B$343:$B$351)=2026)*N($C$343:$C$351))</f>
        <v>0</v>
      </c>
      <c r="E32" s="47">
        <f>SUMPRODUCT((ISNUMBER($B$343:$B$351))*(MONTH($B$343:$B$351)&gt;=4)*(MONTH($B$343:$B$351)&lt;=6)*(YEAR($B$343:$B$351)=2026)*N($C$343:$C$351))</f>
        <v>0</v>
      </c>
      <c r="F32" s="47">
        <f>SUMPRODUCT((ISNUMBER($B$343:$B$351))*(MONTH($B$343:$B$351)&gt;=7)*(MONTH($B$343:$B$351)&lt;=9)*(YEAR($B$343:$B$351)=2026)*N($C$343:$C$351))</f>
        <v>0</v>
      </c>
      <c r="G32" s="47">
        <f>SUMPRODUCT((ISNUMBER($B$343:$B$351))*(MONTH($B$343:$B$351)&gt;=10)*(MONTH($B$343:$B$351)&lt;=12)*(YEAR($B$343:$B$351)=2026)*N($C$343:$C$351))</f>
        <v>0</v>
      </c>
      <c r="H32" s="60">
        <f>SUM($J$343:$J$351)</f>
        <v>0</v>
      </c>
      <c r="I32" s="66">
        <f t="shared" si="1"/>
        <v>0</v>
      </c>
      <c r="J32" s="5"/>
      <c r="K32" s="5"/>
      <c r="L32" s="5"/>
      <c r="M32" s="5"/>
      <c r="N32" s="5"/>
      <c r="O32" s="5"/>
      <c r="P32" s="5"/>
      <c r="Q32" s="5"/>
      <c r="R32" s="5"/>
      <c r="S32" s="5"/>
      <c r="T32" s="5"/>
      <c r="U32" s="5"/>
      <c r="V32" s="5"/>
      <c r="W32" s="5"/>
      <c r="X32" s="5"/>
      <c r="Y32" s="5"/>
      <c r="Z32" s="5"/>
    </row>
    <row r="33" ht="15.0" customHeight="1">
      <c r="A33" s="5"/>
      <c r="B33" s="41">
        <v>24.0</v>
      </c>
      <c r="C33" s="41" t="s">
        <v>111</v>
      </c>
      <c r="D33" s="47">
        <f>SUMPRODUCT((ISNUMBER($B$355:$B$363))*(MONTH($B$355:$B$363)&gt;=1)*(MONTH($B$355:$B$363)&lt;=3)*(YEAR($B$355:$B$363)=2026)*N($C$355:$C$363))</f>
        <v>0</v>
      </c>
      <c r="E33" s="47">
        <f>SUMPRODUCT((ISNUMBER($B$355:$B$363))*(MONTH($B$355:$B$363)&gt;=4)*(MONTH($B$355:$B$363)&lt;=6)*(YEAR($B$355:$B$363)=2026)*N($C$355:$C$363))</f>
        <v>0</v>
      </c>
      <c r="F33" s="47">
        <f>SUMPRODUCT((ISNUMBER($B$355:$B$363))*(MONTH($B$355:$B$363)&gt;=7)*(MONTH($B$355:$B$363)&lt;=9)*(YEAR($B$355:$B$363)=2026)*N($C$355:$C$363))</f>
        <v>0</v>
      </c>
      <c r="G33" s="47">
        <f>SUMPRODUCT((ISNUMBER($B$355:$B$363))*(MONTH($B$355:$B$363)&gt;=10)*(MONTH($B$355:$B$363)&lt;=12)*(YEAR($B$355:$B$363)=2026)*N($C$355:$C$363))</f>
        <v>0</v>
      </c>
      <c r="H33" s="60">
        <f>SUM($J$355:$J$363)</f>
        <v>0</v>
      </c>
      <c r="I33" s="66">
        <f t="shared" si="1"/>
        <v>0</v>
      </c>
      <c r="J33" s="5"/>
      <c r="K33" s="5"/>
      <c r="L33" s="5"/>
      <c r="M33" s="5"/>
      <c r="N33" s="5"/>
      <c r="O33" s="5"/>
      <c r="P33" s="5"/>
      <c r="Q33" s="5"/>
      <c r="R33" s="5"/>
      <c r="S33" s="5"/>
      <c r="T33" s="5"/>
      <c r="U33" s="5"/>
      <c r="V33" s="5"/>
      <c r="W33" s="5"/>
      <c r="X33" s="5"/>
      <c r="Y33" s="5"/>
      <c r="Z33" s="5"/>
    </row>
    <row r="34" ht="15.0" customHeight="1">
      <c r="A34" s="5"/>
      <c r="B34" s="157">
        <v>25.0</v>
      </c>
      <c r="C34" s="157" t="s">
        <v>117</v>
      </c>
      <c r="D34" s="47">
        <f>SUMPRODUCT((ISNUMBER($B$366:$B$374))*(MONTH($B$366:$B$374)&gt;=1)*(MONTH($B$366:$B$374)&lt;=3)*(YEAR($B$366:$B$374)=2026)*N($C$366:$C$374))</f>
        <v>0</v>
      </c>
      <c r="E34" s="47">
        <f>SUMPRODUCT((ISNUMBER($B$366:$B$374))*(MONTH($B$366:$B$374)&gt;=4)*(MONTH($B$366:$B$374)&lt;=6)*(YEAR($B$366:$B$374)=2026)*N($C$366:$C$374))</f>
        <v>0</v>
      </c>
      <c r="F34" s="47">
        <f>SUMPRODUCT((ISNUMBER($B$366:$B$374))*(MONTH($B$366:$B$374)&gt;=7)*(MONTH($B$366:$B$374)&lt;=9)*(YEAR($B$366:$B$374)=2026)*N($C$366:$C$374))</f>
        <v>0</v>
      </c>
      <c r="G34" s="47">
        <f>SUMPRODUCT((ISNUMBER($B$366:$B$374))*(MONTH($B$366:$B$374)&gt;=10)*(MONTH($B$366:$B$374)&lt;=12)*(YEAR($B$366:$B$374)=2026)*N($C$366:$C$374))</f>
        <v>0</v>
      </c>
      <c r="H34" s="60">
        <f>SUM($J$366:$J$374)</f>
        <v>0</v>
      </c>
      <c r="I34" s="66">
        <f t="shared" si="1"/>
        <v>0</v>
      </c>
      <c r="J34" s="5"/>
      <c r="K34" s="5"/>
      <c r="L34" s="5"/>
      <c r="M34" s="5"/>
      <c r="N34" s="5"/>
      <c r="O34" s="5"/>
      <c r="P34" s="5"/>
      <c r="Q34" s="5"/>
      <c r="R34" s="5"/>
      <c r="S34" s="5"/>
      <c r="T34" s="5"/>
      <c r="U34" s="5"/>
      <c r="V34" s="5"/>
      <c r="W34" s="5"/>
      <c r="X34" s="5"/>
      <c r="Y34" s="5"/>
      <c r="Z34" s="5"/>
    </row>
    <row r="35" ht="21.75" customHeight="1">
      <c r="A35" s="5"/>
      <c r="B35" s="158" t="s">
        <v>174</v>
      </c>
      <c r="C35" s="2"/>
      <c r="D35" s="2"/>
      <c r="E35" s="2"/>
      <c r="F35" s="2"/>
      <c r="G35" s="2"/>
      <c r="H35" s="2"/>
      <c r="I35" s="2"/>
      <c r="J35" s="2"/>
      <c r="K35" s="2"/>
      <c r="L35" s="4"/>
      <c r="M35" s="5"/>
      <c r="N35" s="5"/>
      <c r="O35" s="5"/>
      <c r="P35" s="5"/>
      <c r="Q35" s="5"/>
      <c r="R35" s="5"/>
      <c r="S35" s="5"/>
      <c r="T35" s="5"/>
      <c r="U35" s="5"/>
      <c r="V35" s="5"/>
      <c r="W35" s="5"/>
      <c r="X35" s="5"/>
      <c r="Y35" s="5"/>
      <c r="Z35" s="5"/>
    </row>
    <row r="36" ht="19.5" customHeight="1">
      <c r="A36" s="5"/>
      <c r="B36" s="159" t="str">
        <f>"③  " &amp; "63H 04273" &amp; "   —   " &amp; SUMPRODUCT((ISNUMBER($B$38:$B$48))*N($C$38:$C$48)) &amp; " vỏ · " &amp; TEXT(SUM($J$38:$J$48),"#,##0") &amp; "đ" &amp; IF(SUMIF($K$38:$K$48,"Chưa thanh toán",$J$38:$J$48)&gt;0," · còn nợ "&amp;TEXT(SUMIF($K$38:$K$48,"Chưa thanh toán",$J$38:$J$48),"#,##0")&amp;"đ","")</f>
        <v>③  63H 04273   —   6 vỏ · 30.100.000đ</v>
      </c>
      <c r="C36" s="2"/>
      <c r="D36" s="2"/>
      <c r="E36" s="2"/>
      <c r="F36" s="2"/>
      <c r="G36" s="2"/>
      <c r="H36" s="2"/>
      <c r="I36" s="2"/>
      <c r="J36" s="2"/>
      <c r="K36" s="2"/>
      <c r="L36" s="4"/>
      <c r="M36" s="5"/>
      <c r="N36" s="5"/>
      <c r="O36" s="5"/>
      <c r="P36" s="5"/>
      <c r="Q36" s="5"/>
      <c r="R36" s="5"/>
      <c r="S36" s="5"/>
      <c r="T36" s="5"/>
      <c r="U36" s="5"/>
      <c r="V36" s="5"/>
      <c r="W36" s="5"/>
      <c r="X36" s="5"/>
      <c r="Y36" s="5"/>
      <c r="Z36" s="5"/>
    </row>
    <row r="37" ht="25.5" customHeight="1">
      <c r="A37" s="5"/>
      <c r="B37" s="40" t="s">
        <v>127</v>
      </c>
      <c r="C37" s="40" t="s">
        <v>177</v>
      </c>
      <c r="D37" s="40" t="s">
        <v>178</v>
      </c>
      <c r="E37" s="40" t="s">
        <v>179</v>
      </c>
      <c r="F37" s="40" t="s">
        <v>180</v>
      </c>
      <c r="G37" s="40" t="s">
        <v>181</v>
      </c>
      <c r="H37" s="40" t="s">
        <v>182</v>
      </c>
      <c r="I37" s="40" t="s">
        <v>48</v>
      </c>
      <c r="J37" s="40" t="s">
        <v>49</v>
      </c>
      <c r="K37" s="40" t="s">
        <v>50</v>
      </c>
      <c r="L37" s="40" t="s">
        <v>19</v>
      </c>
      <c r="M37" s="5"/>
      <c r="N37" s="5"/>
      <c r="O37" s="5"/>
      <c r="P37" s="5"/>
      <c r="Q37" s="5"/>
      <c r="R37" s="5"/>
      <c r="S37" s="5"/>
      <c r="T37" s="5"/>
      <c r="U37" s="5"/>
      <c r="V37" s="5"/>
      <c r="W37" s="5"/>
      <c r="X37" s="5"/>
      <c r="Y37" s="5"/>
      <c r="Z37" s="5"/>
    </row>
    <row r="38" ht="15.0" customHeight="1">
      <c r="A38" s="5"/>
      <c r="B38" s="52">
        <v>46045.0</v>
      </c>
      <c r="C38" s="54">
        <v>2.0</v>
      </c>
      <c r="D38" s="54"/>
      <c r="E38" s="54"/>
      <c r="F38" s="54"/>
      <c r="G38" s="54" t="s">
        <v>183</v>
      </c>
      <c r="H38" s="54"/>
      <c r="I38" s="54"/>
      <c r="J38" s="55">
        <v>9300000.0</v>
      </c>
      <c r="K38" s="54" t="s">
        <v>53</v>
      </c>
      <c r="L38" s="160" t="s">
        <v>185</v>
      </c>
      <c r="M38" s="5"/>
      <c r="N38" s="5"/>
      <c r="O38" s="5"/>
      <c r="P38" s="5"/>
      <c r="Q38" s="5"/>
      <c r="R38" s="5"/>
      <c r="S38" s="5"/>
      <c r="T38" s="5"/>
      <c r="U38" s="5"/>
      <c r="V38" s="5"/>
      <c r="W38" s="5"/>
      <c r="X38" s="5"/>
      <c r="Y38" s="5"/>
      <c r="Z38" s="5"/>
    </row>
    <row r="39" ht="15.0" customHeight="1">
      <c r="A39" s="5"/>
      <c r="B39" s="52">
        <v>46101.0</v>
      </c>
      <c r="C39" s="54">
        <v>2.0</v>
      </c>
      <c r="D39" s="54"/>
      <c r="E39" s="54"/>
      <c r="F39" s="54"/>
      <c r="G39" s="54" t="s">
        <v>186</v>
      </c>
      <c r="H39" s="54"/>
      <c r="I39" s="54"/>
      <c r="J39" s="55">
        <v>1.0E7</v>
      </c>
      <c r="K39" s="54" t="s">
        <v>53</v>
      </c>
      <c r="L39" s="160" t="s">
        <v>187</v>
      </c>
      <c r="M39" s="5"/>
      <c r="N39" s="5"/>
      <c r="O39" s="5"/>
      <c r="P39" s="5"/>
      <c r="Q39" s="5"/>
      <c r="R39" s="5"/>
      <c r="S39" s="5"/>
      <c r="T39" s="5"/>
      <c r="U39" s="5"/>
      <c r="V39" s="5"/>
      <c r="W39" s="5"/>
      <c r="X39" s="5"/>
      <c r="Y39" s="5"/>
      <c r="Z39" s="5"/>
    </row>
    <row r="40" ht="15.0" customHeight="1">
      <c r="A40" s="5"/>
      <c r="B40" s="52">
        <v>46225.0</v>
      </c>
      <c r="C40" s="54">
        <v>2.0</v>
      </c>
      <c r="D40" s="54"/>
      <c r="E40" s="54"/>
      <c r="F40" s="54"/>
      <c r="G40" s="54" t="s">
        <v>188</v>
      </c>
      <c r="H40" s="54"/>
      <c r="I40" s="54"/>
      <c r="J40" s="55">
        <v>1.08E7</v>
      </c>
      <c r="K40" s="54" t="s">
        <v>53</v>
      </c>
      <c r="L40" s="160" t="s">
        <v>189</v>
      </c>
      <c r="M40" s="5"/>
      <c r="N40" s="5"/>
      <c r="O40" s="5"/>
      <c r="P40" s="5"/>
      <c r="Q40" s="5"/>
      <c r="R40" s="5"/>
      <c r="S40" s="5"/>
      <c r="T40" s="5"/>
      <c r="U40" s="5"/>
      <c r="V40" s="5"/>
      <c r="W40" s="5"/>
      <c r="X40" s="5"/>
      <c r="Y40" s="5"/>
      <c r="Z40" s="5"/>
    </row>
    <row r="41" ht="15.0" customHeight="1">
      <c r="A41" s="5"/>
      <c r="B41" s="59"/>
      <c r="C41" s="63"/>
      <c r="D41" s="63"/>
      <c r="E41" s="63"/>
      <c r="F41" s="63"/>
      <c r="G41" s="63"/>
      <c r="H41" s="63"/>
      <c r="I41" s="63"/>
      <c r="J41" s="65"/>
      <c r="K41" s="63"/>
      <c r="L41" s="161"/>
      <c r="M41" s="5"/>
      <c r="N41" s="5"/>
      <c r="O41" s="5"/>
      <c r="P41" s="5"/>
      <c r="Q41" s="5"/>
      <c r="R41" s="5"/>
      <c r="S41" s="5"/>
      <c r="T41" s="5"/>
      <c r="U41" s="5"/>
      <c r="V41" s="5"/>
      <c r="W41" s="5"/>
      <c r="X41" s="5"/>
      <c r="Y41" s="5"/>
      <c r="Z41" s="5"/>
    </row>
    <row r="42" ht="15.0" customHeight="1">
      <c r="A42" s="5"/>
      <c r="B42" s="59"/>
      <c r="C42" s="63"/>
      <c r="D42" s="63"/>
      <c r="E42" s="63"/>
      <c r="F42" s="63"/>
      <c r="G42" s="63"/>
      <c r="H42" s="63"/>
      <c r="I42" s="63"/>
      <c r="J42" s="65"/>
      <c r="K42" s="63"/>
      <c r="L42" s="161"/>
      <c r="M42" s="5"/>
      <c r="N42" s="5"/>
      <c r="O42" s="5"/>
      <c r="P42" s="5"/>
      <c r="Q42" s="5"/>
      <c r="R42" s="5"/>
      <c r="S42" s="5"/>
      <c r="T42" s="5"/>
      <c r="U42" s="5"/>
      <c r="V42" s="5"/>
      <c r="W42" s="5"/>
      <c r="X42" s="5"/>
      <c r="Y42" s="5"/>
      <c r="Z42" s="5"/>
    </row>
    <row r="43" ht="15.0" customHeight="1">
      <c r="A43" s="5"/>
      <c r="B43" s="59"/>
      <c r="C43" s="63"/>
      <c r="D43" s="63"/>
      <c r="E43" s="63"/>
      <c r="F43" s="63"/>
      <c r="G43" s="63"/>
      <c r="H43" s="63"/>
      <c r="I43" s="63"/>
      <c r="J43" s="65"/>
      <c r="K43" s="63"/>
      <c r="L43" s="161"/>
      <c r="M43" s="5"/>
      <c r="N43" s="5"/>
      <c r="O43" s="5"/>
      <c r="P43" s="5"/>
      <c r="Q43" s="5"/>
      <c r="R43" s="5"/>
      <c r="S43" s="5"/>
      <c r="T43" s="5"/>
      <c r="U43" s="5"/>
      <c r="V43" s="5"/>
      <c r="W43" s="5"/>
      <c r="X43" s="5"/>
      <c r="Y43" s="5"/>
      <c r="Z43" s="5"/>
    </row>
    <row r="44" ht="15.0" customHeight="1">
      <c r="A44" s="5"/>
      <c r="B44" s="59"/>
      <c r="C44" s="63"/>
      <c r="D44" s="63"/>
      <c r="E44" s="63"/>
      <c r="F44" s="63"/>
      <c r="G44" s="63"/>
      <c r="H44" s="63"/>
      <c r="I44" s="63"/>
      <c r="J44" s="65"/>
      <c r="K44" s="63"/>
      <c r="L44" s="161"/>
      <c r="M44" s="5"/>
      <c r="N44" s="5"/>
      <c r="O44" s="5"/>
      <c r="P44" s="5"/>
      <c r="Q44" s="5"/>
      <c r="R44" s="5"/>
      <c r="S44" s="5"/>
      <c r="T44" s="5"/>
      <c r="U44" s="5"/>
      <c r="V44" s="5"/>
      <c r="W44" s="5"/>
      <c r="X44" s="5"/>
      <c r="Y44" s="5"/>
      <c r="Z44" s="5"/>
    </row>
    <row r="45" ht="15.0" customHeight="1">
      <c r="A45" s="5"/>
      <c r="B45" s="59"/>
      <c r="C45" s="63"/>
      <c r="D45" s="63"/>
      <c r="E45" s="63"/>
      <c r="F45" s="63"/>
      <c r="G45" s="63"/>
      <c r="H45" s="63"/>
      <c r="I45" s="63"/>
      <c r="J45" s="65"/>
      <c r="K45" s="63"/>
      <c r="L45" s="161"/>
      <c r="M45" s="5"/>
      <c r="N45" s="5"/>
      <c r="O45" s="5"/>
      <c r="P45" s="5"/>
      <c r="Q45" s="5"/>
      <c r="R45" s="5"/>
      <c r="S45" s="5"/>
      <c r="T45" s="5"/>
      <c r="U45" s="5"/>
      <c r="V45" s="5"/>
      <c r="W45" s="5"/>
      <c r="X45" s="5"/>
      <c r="Y45" s="5"/>
      <c r="Z45" s="5"/>
    </row>
    <row r="46" ht="15.0" customHeight="1">
      <c r="A46" s="5"/>
      <c r="B46" s="59"/>
      <c r="C46" s="63"/>
      <c r="D46" s="63"/>
      <c r="E46" s="63"/>
      <c r="F46" s="63"/>
      <c r="G46" s="63"/>
      <c r="H46" s="63"/>
      <c r="I46" s="63"/>
      <c r="J46" s="65"/>
      <c r="K46" s="63"/>
      <c r="L46" s="161"/>
      <c r="M46" s="5"/>
      <c r="N46" s="5"/>
      <c r="O46" s="5"/>
      <c r="P46" s="5"/>
      <c r="Q46" s="5"/>
      <c r="R46" s="5"/>
      <c r="S46" s="5"/>
      <c r="T46" s="5"/>
      <c r="U46" s="5"/>
      <c r="V46" s="5"/>
      <c r="W46" s="5"/>
      <c r="X46" s="5"/>
      <c r="Y46" s="5"/>
      <c r="Z46" s="5"/>
    </row>
    <row r="47" ht="15.0" customHeight="1">
      <c r="A47" s="5"/>
      <c r="B47" s="59"/>
      <c r="C47" s="63"/>
      <c r="D47" s="63"/>
      <c r="E47" s="63"/>
      <c r="F47" s="63"/>
      <c r="G47" s="63"/>
      <c r="H47" s="63"/>
      <c r="I47" s="63"/>
      <c r="J47" s="65"/>
      <c r="K47" s="63"/>
      <c r="L47" s="161"/>
      <c r="M47" s="5"/>
      <c r="N47" s="5"/>
      <c r="O47" s="5"/>
      <c r="P47" s="5"/>
      <c r="Q47" s="5"/>
      <c r="R47" s="5"/>
      <c r="S47" s="5"/>
      <c r="T47" s="5"/>
      <c r="U47" s="5"/>
      <c r="V47" s="5"/>
      <c r="W47" s="5"/>
      <c r="X47" s="5"/>
      <c r="Y47" s="5"/>
      <c r="Z47" s="5"/>
    </row>
    <row r="48" ht="15.0" customHeight="1">
      <c r="A48" s="5"/>
      <c r="B48" s="59"/>
      <c r="C48" s="63"/>
      <c r="D48" s="63"/>
      <c r="E48" s="63"/>
      <c r="F48" s="63"/>
      <c r="G48" s="63"/>
      <c r="H48" s="63"/>
      <c r="I48" s="63"/>
      <c r="J48" s="65"/>
      <c r="K48" s="63"/>
      <c r="L48" s="161"/>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9.5" customHeight="1">
      <c r="A50" s="5"/>
      <c r="B50" s="159" t="str">
        <f>"③  " &amp; "63E 01117" &amp; "   —   " &amp; SUMPRODUCT((ISNUMBER($B$52:$B$62))*N($C$52:$C$62)) &amp; " vỏ · " &amp; TEXT(SUM($J$52:$J$62),"#,##0") &amp; "đ" &amp; IF(SUMIF($K$52:$K$62,"Chưa thanh toán",$J$52:$J$62)&gt;0," · còn nợ "&amp;TEXT(SUMIF($K$52:$K$62,"Chưa thanh toán",$J$52:$J$62),"#,##0")&amp;"đ","")</f>
        <v>③  63E 01117   —   8 vỏ · 17.000.000đ</v>
      </c>
      <c r="C50" s="2"/>
      <c r="D50" s="2"/>
      <c r="E50" s="2"/>
      <c r="F50" s="2"/>
      <c r="G50" s="2"/>
      <c r="H50" s="2"/>
      <c r="I50" s="2"/>
      <c r="J50" s="2"/>
      <c r="K50" s="2"/>
      <c r="L50" s="4"/>
      <c r="M50" s="5"/>
      <c r="N50" s="5"/>
      <c r="O50" s="5"/>
      <c r="P50" s="5"/>
      <c r="Q50" s="5"/>
      <c r="R50" s="5"/>
      <c r="S50" s="5"/>
      <c r="T50" s="5"/>
      <c r="U50" s="5"/>
      <c r="V50" s="5"/>
      <c r="W50" s="5"/>
      <c r="X50" s="5"/>
      <c r="Y50" s="5"/>
      <c r="Z50" s="5"/>
    </row>
    <row r="51" ht="25.5" customHeight="1">
      <c r="A51" s="5"/>
      <c r="B51" s="70" t="s">
        <v>127</v>
      </c>
      <c r="C51" s="70" t="s">
        <v>177</v>
      </c>
      <c r="D51" s="70" t="s">
        <v>178</v>
      </c>
      <c r="E51" s="70" t="s">
        <v>179</v>
      </c>
      <c r="F51" s="70" t="s">
        <v>180</v>
      </c>
      <c r="G51" s="70" t="s">
        <v>181</v>
      </c>
      <c r="H51" s="70" t="s">
        <v>182</v>
      </c>
      <c r="I51" s="70" t="s">
        <v>48</v>
      </c>
      <c r="J51" s="70" t="s">
        <v>49</v>
      </c>
      <c r="K51" s="70" t="s">
        <v>50</v>
      </c>
      <c r="L51" s="70" t="s">
        <v>19</v>
      </c>
      <c r="M51" s="5"/>
      <c r="N51" s="5"/>
      <c r="O51" s="5"/>
      <c r="P51" s="5"/>
      <c r="Q51" s="5"/>
      <c r="R51" s="5"/>
      <c r="S51" s="5"/>
      <c r="T51" s="5"/>
      <c r="U51" s="5"/>
      <c r="V51" s="5"/>
      <c r="W51" s="5"/>
      <c r="X51" s="5"/>
      <c r="Y51" s="5"/>
      <c r="Z51" s="5"/>
    </row>
    <row r="52" ht="15.0" customHeight="1">
      <c r="A52" s="5"/>
      <c r="B52" s="52">
        <v>46042.0</v>
      </c>
      <c r="C52" s="54">
        <v>2.0</v>
      </c>
      <c r="D52" s="54"/>
      <c r="E52" s="162"/>
      <c r="F52" s="54"/>
      <c r="G52" s="54" t="s">
        <v>193</v>
      </c>
      <c r="H52" s="54"/>
      <c r="I52" s="54"/>
      <c r="J52" s="55">
        <v>8600000.0</v>
      </c>
      <c r="K52" s="54" t="s">
        <v>53</v>
      </c>
      <c r="L52" s="160" t="s">
        <v>194</v>
      </c>
      <c r="M52" s="5"/>
      <c r="N52" s="5"/>
      <c r="O52" s="5"/>
      <c r="P52" s="5"/>
      <c r="Q52" s="5"/>
      <c r="R52" s="5"/>
      <c r="S52" s="5"/>
      <c r="T52" s="5"/>
      <c r="U52" s="5"/>
      <c r="V52" s="5"/>
      <c r="W52" s="5"/>
      <c r="X52" s="5"/>
      <c r="Y52" s="5"/>
      <c r="Z52" s="5"/>
    </row>
    <row r="53" ht="15.0" customHeight="1">
      <c r="A53" s="5"/>
      <c r="B53" s="52">
        <v>46081.0</v>
      </c>
      <c r="C53" s="54">
        <v>2.0</v>
      </c>
      <c r="D53" s="54"/>
      <c r="E53" s="54"/>
      <c r="F53" s="54"/>
      <c r="G53" s="54" t="s">
        <v>188</v>
      </c>
      <c r="H53" s="54"/>
      <c r="I53" s="54"/>
      <c r="J53" s="55">
        <v>8400000.0</v>
      </c>
      <c r="K53" s="54" t="s">
        <v>53</v>
      </c>
      <c r="L53" s="160" t="s">
        <v>196</v>
      </c>
      <c r="M53" s="5"/>
      <c r="N53" s="5"/>
      <c r="O53" s="5"/>
      <c r="P53" s="5"/>
      <c r="Q53" s="5"/>
      <c r="R53" s="5"/>
      <c r="S53" s="5"/>
      <c r="T53" s="5"/>
      <c r="U53" s="5"/>
      <c r="V53" s="5"/>
      <c r="W53" s="5"/>
      <c r="X53" s="5"/>
      <c r="Y53" s="5"/>
      <c r="Z53" s="5"/>
    </row>
    <row r="54" ht="15.0" customHeight="1">
      <c r="A54" s="5"/>
      <c r="B54" s="52">
        <v>46203.0</v>
      </c>
      <c r="C54" s="54">
        <v>2.0</v>
      </c>
      <c r="D54" s="54"/>
      <c r="E54" s="54"/>
      <c r="F54" s="54"/>
      <c r="G54" s="54" t="s">
        <v>186</v>
      </c>
      <c r="H54" s="54"/>
      <c r="I54" s="54"/>
      <c r="J54" s="55"/>
      <c r="K54" s="54" t="s">
        <v>53</v>
      </c>
      <c r="L54" s="160" t="s">
        <v>197</v>
      </c>
      <c r="M54" s="5"/>
      <c r="N54" s="5"/>
      <c r="O54" s="5"/>
      <c r="P54" s="5"/>
      <c r="Q54" s="5"/>
      <c r="R54" s="5"/>
      <c r="S54" s="5"/>
      <c r="T54" s="5"/>
      <c r="U54" s="5"/>
      <c r="V54" s="5"/>
      <c r="W54" s="5"/>
      <c r="X54" s="5"/>
      <c r="Y54" s="5"/>
      <c r="Z54" s="5"/>
    </row>
    <row r="55" ht="15.0" customHeight="1">
      <c r="A55" s="5"/>
      <c r="B55" s="163">
        <v>46246.0</v>
      </c>
      <c r="C55" s="164">
        <v>2.0</v>
      </c>
      <c r="D55" s="74"/>
      <c r="E55" s="74"/>
      <c r="F55" s="74"/>
      <c r="G55" s="164" t="s">
        <v>198</v>
      </c>
      <c r="H55" s="74"/>
      <c r="I55" s="74"/>
      <c r="J55" s="76"/>
      <c r="K55" s="74"/>
      <c r="L55" s="165" t="s">
        <v>199</v>
      </c>
      <c r="M55" s="5"/>
      <c r="N55" s="5"/>
      <c r="O55" s="5"/>
      <c r="P55" s="5"/>
      <c r="Q55" s="5"/>
      <c r="R55" s="5"/>
      <c r="S55" s="5"/>
      <c r="T55" s="5"/>
      <c r="U55" s="5"/>
      <c r="V55" s="5"/>
      <c r="W55" s="5"/>
      <c r="X55" s="5"/>
      <c r="Y55" s="5"/>
      <c r="Z55" s="5"/>
    </row>
    <row r="56" ht="15.0" customHeight="1">
      <c r="A56" s="5"/>
      <c r="B56" s="72"/>
      <c r="C56" s="74"/>
      <c r="D56" s="74"/>
      <c r="E56" s="74"/>
      <c r="F56" s="74"/>
      <c r="G56" s="74"/>
      <c r="H56" s="74"/>
      <c r="I56" s="74"/>
      <c r="J56" s="76"/>
      <c r="K56" s="74"/>
      <c r="L56" s="166"/>
      <c r="M56" s="5"/>
      <c r="N56" s="5"/>
      <c r="O56" s="5"/>
      <c r="P56" s="5"/>
      <c r="Q56" s="5"/>
      <c r="R56" s="5"/>
      <c r="S56" s="5"/>
      <c r="T56" s="5"/>
      <c r="U56" s="5"/>
      <c r="V56" s="5"/>
      <c r="W56" s="5"/>
      <c r="X56" s="5"/>
      <c r="Y56" s="5"/>
      <c r="Z56" s="5"/>
    </row>
    <row r="57" ht="15.0" customHeight="1">
      <c r="A57" s="5"/>
      <c r="B57" s="72"/>
      <c r="C57" s="74"/>
      <c r="D57" s="74"/>
      <c r="E57" s="74"/>
      <c r="F57" s="74"/>
      <c r="G57" s="74"/>
      <c r="H57" s="74"/>
      <c r="I57" s="74"/>
      <c r="J57" s="76"/>
      <c r="K57" s="74"/>
      <c r="L57" s="166"/>
      <c r="M57" s="5"/>
      <c r="N57" s="5"/>
      <c r="O57" s="5"/>
      <c r="P57" s="5"/>
      <c r="Q57" s="5"/>
      <c r="R57" s="5"/>
      <c r="S57" s="5"/>
      <c r="T57" s="5"/>
      <c r="U57" s="5"/>
      <c r="V57" s="5"/>
      <c r="W57" s="5"/>
      <c r="X57" s="5"/>
      <c r="Y57" s="5"/>
      <c r="Z57" s="5"/>
    </row>
    <row r="58" ht="15.0" customHeight="1">
      <c r="A58" s="5"/>
      <c r="B58" s="72"/>
      <c r="C58" s="74"/>
      <c r="D58" s="74"/>
      <c r="E58" s="74"/>
      <c r="F58" s="74"/>
      <c r="G58" s="74"/>
      <c r="H58" s="74"/>
      <c r="I58" s="74"/>
      <c r="J58" s="76"/>
      <c r="K58" s="74"/>
      <c r="L58" s="166"/>
      <c r="M58" s="5"/>
      <c r="N58" s="5"/>
      <c r="O58" s="5"/>
      <c r="P58" s="5"/>
      <c r="Q58" s="5"/>
      <c r="R58" s="5"/>
      <c r="S58" s="5"/>
      <c r="T58" s="5"/>
      <c r="U58" s="5"/>
      <c r="V58" s="5"/>
      <c r="W58" s="5"/>
      <c r="X58" s="5"/>
      <c r="Y58" s="5"/>
      <c r="Z58" s="5"/>
    </row>
    <row r="59" ht="15.0" customHeight="1">
      <c r="A59" s="5"/>
      <c r="B59" s="72"/>
      <c r="C59" s="74"/>
      <c r="D59" s="74"/>
      <c r="E59" s="74"/>
      <c r="F59" s="74"/>
      <c r="G59" s="74"/>
      <c r="H59" s="74"/>
      <c r="I59" s="74"/>
      <c r="J59" s="76"/>
      <c r="K59" s="74"/>
      <c r="L59" s="166"/>
      <c r="M59" s="5"/>
      <c r="N59" s="5"/>
      <c r="O59" s="5"/>
      <c r="P59" s="5"/>
      <c r="Q59" s="5"/>
      <c r="R59" s="5"/>
      <c r="S59" s="5"/>
      <c r="T59" s="5"/>
      <c r="U59" s="5"/>
      <c r="V59" s="5"/>
      <c r="W59" s="5"/>
      <c r="X59" s="5"/>
      <c r="Y59" s="5"/>
      <c r="Z59" s="5"/>
    </row>
    <row r="60" ht="15.0" customHeight="1">
      <c r="A60" s="5"/>
      <c r="B60" s="72"/>
      <c r="C60" s="74"/>
      <c r="D60" s="74"/>
      <c r="E60" s="74"/>
      <c r="F60" s="74"/>
      <c r="G60" s="74"/>
      <c r="H60" s="74"/>
      <c r="I60" s="74"/>
      <c r="J60" s="76"/>
      <c r="K60" s="74"/>
      <c r="L60" s="166"/>
      <c r="M60" s="5"/>
      <c r="N60" s="5"/>
      <c r="O60" s="5"/>
      <c r="P60" s="5"/>
      <c r="Q60" s="5"/>
      <c r="R60" s="5"/>
      <c r="S60" s="5"/>
      <c r="T60" s="5"/>
      <c r="U60" s="5"/>
      <c r="V60" s="5"/>
      <c r="W60" s="5"/>
      <c r="X60" s="5"/>
      <c r="Y60" s="5"/>
      <c r="Z60" s="5"/>
    </row>
    <row r="61" ht="15.0" customHeight="1">
      <c r="A61" s="5"/>
      <c r="B61" s="72"/>
      <c r="C61" s="74"/>
      <c r="D61" s="74"/>
      <c r="E61" s="74"/>
      <c r="F61" s="74"/>
      <c r="G61" s="74"/>
      <c r="H61" s="74"/>
      <c r="I61" s="74"/>
      <c r="J61" s="76"/>
      <c r="K61" s="74"/>
      <c r="L61" s="166"/>
      <c r="M61" s="5"/>
      <c r="N61" s="5"/>
      <c r="O61" s="5"/>
      <c r="P61" s="5"/>
      <c r="Q61" s="5"/>
      <c r="R61" s="5"/>
      <c r="S61" s="5"/>
      <c r="T61" s="5"/>
      <c r="U61" s="5"/>
      <c r="V61" s="5"/>
      <c r="W61" s="5"/>
      <c r="X61" s="5"/>
      <c r="Y61" s="5"/>
      <c r="Z61" s="5"/>
    </row>
    <row r="62" ht="15.0" customHeight="1">
      <c r="A62" s="5"/>
      <c r="B62" s="72"/>
      <c r="C62" s="74"/>
      <c r="D62" s="74"/>
      <c r="E62" s="74"/>
      <c r="F62" s="74"/>
      <c r="G62" s="74"/>
      <c r="H62" s="74"/>
      <c r="I62" s="74"/>
      <c r="J62" s="76"/>
      <c r="K62" s="74"/>
      <c r="L62" s="166"/>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9.5" customHeight="1">
      <c r="A64" s="5"/>
      <c r="B64" s="159" t="str">
        <f>"③  " &amp; "63E 01156" &amp; "   —   " &amp; SUMPRODUCT((ISNUMBER($B$66:$B$75))*N($C$66:$C$75)) &amp; " vỏ · " &amp; TEXT(SUM($J$66:$J$75),"#,##0") &amp; "đ" &amp; IF(SUMIF($K$66:$K$75,"Chưa thanh toán",$J$66:$J$75)&gt;0," · còn nợ "&amp;TEXT(SUMIF($K$66:$K$75,"Chưa thanh toán",$J$66:$J$75),"#,##0")&amp;"đ","")</f>
        <v>③  63E 01156   —   8 vỏ · 34.000.000đ</v>
      </c>
      <c r="C64" s="2"/>
      <c r="D64" s="2"/>
      <c r="E64" s="2"/>
      <c r="F64" s="2"/>
      <c r="G64" s="2"/>
      <c r="H64" s="2"/>
      <c r="I64" s="2"/>
      <c r="J64" s="2"/>
      <c r="K64" s="2"/>
      <c r="L64" s="4"/>
      <c r="M64" s="5"/>
      <c r="N64" s="5"/>
      <c r="O64" s="5"/>
      <c r="P64" s="5"/>
      <c r="Q64" s="5"/>
      <c r="R64" s="5"/>
      <c r="S64" s="5"/>
      <c r="T64" s="5"/>
      <c r="U64" s="5"/>
      <c r="V64" s="5"/>
      <c r="W64" s="5"/>
      <c r="X64" s="5"/>
      <c r="Y64" s="5"/>
      <c r="Z64" s="5"/>
    </row>
    <row r="65" ht="25.5" customHeight="1">
      <c r="A65" s="5"/>
      <c r="B65" s="40" t="s">
        <v>127</v>
      </c>
      <c r="C65" s="40" t="s">
        <v>177</v>
      </c>
      <c r="D65" s="40" t="s">
        <v>178</v>
      </c>
      <c r="E65" s="40" t="s">
        <v>179</v>
      </c>
      <c r="F65" s="40" t="s">
        <v>180</v>
      </c>
      <c r="G65" s="40" t="s">
        <v>181</v>
      </c>
      <c r="H65" s="40" t="s">
        <v>182</v>
      </c>
      <c r="I65" s="40" t="s">
        <v>48</v>
      </c>
      <c r="J65" s="40" t="s">
        <v>49</v>
      </c>
      <c r="K65" s="40" t="s">
        <v>50</v>
      </c>
      <c r="L65" s="40" t="s">
        <v>19</v>
      </c>
      <c r="M65" s="5"/>
      <c r="N65" s="5"/>
      <c r="O65" s="5"/>
      <c r="P65" s="5"/>
      <c r="Q65" s="5"/>
      <c r="R65" s="5"/>
      <c r="S65" s="5"/>
      <c r="T65" s="5"/>
      <c r="U65" s="5"/>
      <c r="V65" s="5"/>
      <c r="W65" s="5"/>
      <c r="X65" s="5"/>
      <c r="Y65" s="5"/>
      <c r="Z65" s="5"/>
    </row>
    <row r="66" ht="15.0" customHeight="1">
      <c r="A66" s="5"/>
      <c r="B66" s="52">
        <v>46042.0</v>
      </c>
      <c r="C66" s="54">
        <v>4.0</v>
      </c>
      <c r="D66" s="54"/>
      <c r="E66" s="54" t="s">
        <v>202</v>
      </c>
      <c r="F66" s="54"/>
      <c r="G66" s="54" t="s">
        <v>188</v>
      </c>
      <c r="H66" s="54"/>
      <c r="I66" s="54"/>
      <c r="J66" s="55">
        <v>1.72E7</v>
      </c>
      <c r="K66" s="54" t="s">
        <v>53</v>
      </c>
      <c r="L66" s="160" t="s">
        <v>203</v>
      </c>
      <c r="M66" s="5"/>
      <c r="N66" s="5"/>
      <c r="O66" s="5"/>
      <c r="P66" s="5"/>
      <c r="Q66" s="5"/>
      <c r="R66" s="5"/>
      <c r="S66" s="5"/>
      <c r="T66" s="5"/>
      <c r="U66" s="5"/>
      <c r="V66" s="5"/>
      <c r="W66" s="5"/>
      <c r="X66" s="5"/>
      <c r="Y66" s="5"/>
      <c r="Z66" s="5"/>
    </row>
    <row r="67" ht="15.0" customHeight="1">
      <c r="A67" s="5"/>
      <c r="B67" s="52">
        <v>46175.0</v>
      </c>
      <c r="C67" s="54">
        <v>4.0</v>
      </c>
      <c r="D67" s="54"/>
      <c r="E67" s="54" t="s">
        <v>202</v>
      </c>
      <c r="F67" s="54"/>
      <c r="G67" s="54" t="s">
        <v>188</v>
      </c>
      <c r="H67" s="54"/>
      <c r="I67" s="54"/>
      <c r="J67" s="55">
        <v>1.68E7</v>
      </c>
      <c r="K67" s="54" t="s">
        <v>53</v>
      </c>
      <c r="L67" s="160" t="s">
        <v>204</v>
      </c>
      <c r="M67" s="5"/>
      <c r="N67" s="5"/>
      <c r="O67" s="5"/>
      <c r="P67" s="5"/>
      <c r="Q67" s="5"/>
      <c r="R67" s="5"/>
      <c r="S67" s="5"/>
      <c r="T67" s="5"/>
      <c r="U67" s="5"/>
      <c r="V67" s="5"/>
      <c r="W67" s="5"/>
      <c r="X67" s="5"/>
      <c r="Y67" s="5"/>
      <c r="Z67" s="5"/>
    </row>
    <row r="68" ht="15.0" customHeight="1">
      <c r="A68" s="5"/>
      <c r="B68" s="59"/>
      <c r="C68" s="63"/>
      <c r="D68" s="63"/>
      <c r="E68" s="63"/>
      <c r="F68" s="63"/>
      <c r="G68" s="63"/>
      <c r="H68" s="63"/>
      <c r="I68" s="63"/>
      <c r="J68" s="65"/>
      <c r="K68" s="63"/>
      <c r="L68" s="161"/>
      <c r="M68" s="5"/>
      <c r="N68" s="5"/>
      <c r="O68" s="5"/>
      <c r="P68" s="5"/>
      <c r="Q68" s="5"/>
      <c r="R68" s="5"/>
      <c r="S68" s="5"/>
      <c r="T68" s="5"/>
      <c r="U68" s="5"/>
      <c r="V68" s="5"/>
      <c r="W68" s="5"/>
      <c r="X68" s="5"/>
      <c r="Y68" s="5"/>
      <c r="Z68" s="5"/>
    </row>
    <row r="69" ht="15.0" customHeight="1">
      <c r="A69" s="5"/>
      <c r="B69" s="59"/>
      <c r="C69" s="63"/>
      <c r="D69" s="63"/>
      <c r="E69" s="63"/>
      <c r="F69" s="63"/>
      <c r="G69" s="63"/>
      <c r="H69" s="63"/>
      <c r="I69" s="63"/>
      <c r="J69" s="65"/>
      <c r="K69" s="63"/>
      <c r="L69" s="161"/>
      <c r="M69" s="5"/>
      <c r="N69" s="5"/>
      <c r="O69" s="5"/>
      <c r="P69" s="5"/>
      <c r="Q69" s="5"/>
      <c r="R69" s="5"/>
      <c r="S69" s="5"/>
      <c r="T69" s="5"/>
      <c r="U69" s="5"/>
      <c r="V69" s="5"/>
      <c r="W69" s="5"/>
      <c r="X69" s="5"/>
      <c r="Y69" s="5"/>
      <c r="Z69" s="5"/>
    </row>
    <row r="70" ht="15.0" customHeight="1">
      <c r="A70" s="5"/>
      <c r="B70" s="59"/>
      <c r="C70" s="63"/>
      <c r="D70" s="63"/>
      <c r="E70" s="63"/>
      <c r="F70" s="63"/>
      <c r="G70" s="63"/>
      <c r="H70" s="63"/>
      <c r="I70" s="63"/>
      <c r="J70" s="65"/>
      <c r="K70" s="63"/>
      <c r="L70" s="161"/>
      <c r="M70" s="5"/>
      <c r="N70" s="5"/>
      <c r="O70" s="5"/>
      <c r="P70" s="5"/>
      <c r="Q70" s="5"/>
      <c r="R70" s="5"/>
      <c r="S70" s="5"/>
      <c r="T70" s="5"/>
      <c r="U70" s="5"/>
      <c r="V70" s="5"/>
      <c r="W70" s="5"/>
      <c r="X70" s="5"/>
      <c r="Y70" s="5"/>
      <c r="Z70" s="5"/>
    </row>
    <row r="71" ht="15.0" customHeight="1">
      <c r="A71" s="5"/>
      <c r="B71" s="59"/>
      <c r="C71" s="63"/>
      <c r="D71" s="63"/>
      <c r="E71" s="63"/>
      <c r="F71" s="63"/>
      <c r="G71" s="63"/>
      <c r="H71" s="63"/>
      <c r="I71" s="63"/>
      <c r="J71" s="65"/>
      <c r="K71" s="63"/>
      <c r="L71" s="161"/>
      <c r="M71" s="5"/>
      <c r="N71" s="5"/>
      <c r="O71" s="5"/>
      <c r="P71" s="5"/>
      <c r="Q71" s="5"/>
      <c r="R71" s="5"/>
      <c r="S71" s="5"/>
      <c r="T71" s="5"/>
      <c r="U71" s="5"/>
      <c r="V71" s="5"/>
      <c r="W71" s="5"/>
      <c r="X71" s="5"/>
      <c r="Y71" s="5"/>
      <c r="Z71" s="5"/>
    </row>
    <row r="72" ht="15.0" customHeight="1">
      <c r="A72" s="5"/>
      <c r="B72" s="59"/>
      <c r="C72" s="63"/>
      <c r="D72" s="63"/>
      <c r="E72" s="63"/>
      <c r="F72" s="63"/>
      <c r="G72" s="63"/>
      <c r="H72" s="63"/>
      <c r="I72" s="63"/>
      <c r="J72" s="65"/>
      <c r="K72" s="63"/>
      <c r="L72" s="161"/>
      <c r="M72" s="5"/>
      <c r="N72" s="5"/>
      <c r="O72" s="5"/>
      <c r="P72" s="5"/>
      <c r="Q72" s="5"/>
      <c r="R72" s="5"/>
      <c r="S72" s="5"/>
      <c r="T72" s="5"/>
      <c r="U72" s="5"/>
      <c r="V72" s="5"/>
      <c r="W72" s="5"/>
      <c r="X72" s="5"/>
      <c r="Y72" s="5"/>
      <c r="Z72" s="5"/>
    </row>
    <row r="73" ht="15.0" customHeight="1">
      <c r="A73" s="5"/>
      <c r="B73" s="59"/>
      <c r="C73" s="63"/>
      <c r="D73" s="63"/>
      <c r="E73" s="63"/>
      <c r="F73" s="63"/>
      <c r="G73" s="63"/>
      <c r="H73" s="63"/>
      <c r="I73" s="63"/>
      <c r="J73" s="65"/>
      <c r="K73" s="63"/>
      <c r="L73" s="161"/>
      <c r="M73" s="5"/>
      <c r="N73" s="5"/>
      <c r="O73" s="5"/>
      <c r="P73" s="5"/>
      <c r="Q73" s="5"/>
      <c r="R73" s="5"/>
      <c r="S73" s="5"/>
      <c r="T73" s="5"/>
      <c r="U73" s="5"/>
      <c r="V73" s="5"/>
      <c r="W73" s="5"/>
      <c r="X73" s="5"/>
      <c r="Y73" s="5"/>
      <c r="Z73" s="5"/>
    </row>
    <row r="74" ht="15.0" customHeight="1">
      <c r="A74" s="5"/>
      <c r="B74" s="59"/>
      <c r="C74" s="63"/>
      <c r="D74" s="63"/>
      <c r="E74" s="63"/>
      <c r="F74" s="63"/>
      <c r="G74" s="63"/>
      <c r="H74" s="63"/>
      <c r="I74" s="63"/>
      <c r="J74" s="65"/>
      <c r="K74" s="63"/>
      <c r="L74" s="161"/>
      <c r="M74" s="5"/>
      <c r="N74" s="5"/>
      <c r="O74" s="5"/>
      <c r="P74" s="5"/>
      <c r="Q74" s="5"/>
      <c r="R74" s="5"/>
      <c r="S74" s="5"/>
      <c r="T74" s="5"/>
      <c r="U74" s="5"/>
      <c r="V74" s="5"/>
      <c r="W74" s="5"/>
      <c r="X74" s="5"/>
      <c r="Y74" s="5"/>
      <c r="Z74" s="5"/>
    </row>
    <row r="75" ht="15.0" customHeight="1">
      <c r="A75" s="5"/>
      <c r="B75" s="59"/>
      <c r="C75" s="63"/>
      <c r="D75" s="63"/>
      <c r="E75" s="63"/>
      <c r="F75" s="63"/>
      <c r="G75" s="63"/>
      <c r="H75" s="63"/>
      <c r="I75" s="63"/>
      <c r="J75" s="65"/>
      <c r="K75" s="63"/>
      <c r="L75" s="161"/>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9.5" customHeight="1">
      <c r="A77" s="5"/>
      <c r="B77" s="159" t="str">
        <f>"③  " &amp; "63G 00286" &amp; "   —   " &amp; SUMPRODUCT((ISNUMBER($B$79:$B$91))*N($C$79:$C$91)) &amp; " vỏ · " &amp; TEXT(SUM($J$79:$J$91),"#,##0") &amp; "đ" &amp; IF(SUMIF($K$79:$K$91,"Chưa thanh toán",$J$79:$J$91)&gt;0," · còn nợ "&amp;TEXT(SUMIF($K$79:$K$91,"Chưa thanh toán",$J$79:$J$91),"#,##0")&amp;"đ","")</f>
        <v>③  63G 00286   —   14 vỏ · 47.800.000đ</v>
      </c>
      <c r="C77" s="2"/>
      <c r="D77" s="2"/>
      <c r="E77" s="2"/>
      <c r="F77" s="2"/>
      <c r="G77" s="2"/>
      <c r="H77" s="2"/>
      <c r="I77" s="2"/>
      <c r="J77" s="2"/>
      <c r="K77" s="2"/>
      <c r="L77" s="4"/>
      <c r="M77" s="5"/>
      <c r="N77" s="5"/>
      <c r="O77" s="5"/>
      <c r="P77" s="5"/>
      <c r="Q77" s="5"/>
      <c r="R77" s="5"/>
      <c r="S77" s="5"/>
      <c r="T77" s="5"/>
      <c r="U77" s="5"/>
      <c r="V77" s="5"/>
      <c r="W77" s="5"/>
      <c r="X77" s="5"/>
      <c r="Y77" s="5"/>
      <c r="Z77" s="5"/>
    </row>
    <row r="78" ht="25.5" customHeight="1">
      <c r="A78" s="5"/>
      <c r="B78" s="70" t="s">
        <v>127</v>
      </c>
      <c r="C78" s="70" t="s">
        <v>177</v>
      </c>
      <c r="D78" s="70" t="s">
        <v>178</v>
      </c>
      <c r="E78" s="70" t="s">
        <v>179</v>
      </c>
      <c r="F78" s="70" t="s">
        <v>180</v>
      </c>
      <c r="G78" s="70" t="s">
        <v>181</v>
      </c>
      <c r="H78" s="70" t="s">
        <v>182</v>
      </c>
      <c r="I78" s="70" t="s">
        <v>48</v>
      </c>
      <c r="J78" s="70" t="s">
        <v>49</v>
      </c>
      <c r="K78" s="70" t="s">
        <v>50</v>
      </c>
      <c r="L78" s="70" t="s">
        <v>19</v>
      </c>
      <c r="M78" s="5"/>
      <c r="N78" s="5"/>
      <c r="O78" s="5"/>
      <c r="P78" s="5"/>
      <c r="Q78" s="5"/>
      <c r="R78" s="5"/>
      <c r="S78" s="5"/>
      <c r="T78" s="5"/>
      <c r="U78" s="5"/>
      <c r="V78" s="5"/>
      <c r="W78" s="5"/>
      <c r="X78" s="5"/>
      <c r="Y78" s="5"/>
      <c r="Z78" s="5"/>
    </row>
    <row r="79" ht="15.0" customHeight="1">
      <c r="A79" s="5"/>
      <c r="B79" s="52">
        <v>46039.0</v>
      </c>
      <c r="C79" s="54">
        <v>2.0</v>
      </c>
      <c r="D79" s="54"/>
      <c r="E79" s="54"/>
      <c r="F79" s="54"/>
      <c r="G79" s="54"/>
      <c r="H79" s="54"/>
      <c r="I79" s="54"/>
      <c r="J79" s="55"/>
      <c r="K79" s="54" t="s">
        <v>53</v>
      </c>
      <c r="L79" s="160"/>
      <c r="M79" s="5"/>
      <c r="N79" s="5"/>
      <c r="O79" s="5"/>
      <c r="P79" s="5"/>
      <c r="Q79" s="5"/>
      <c r="R79" s="5"/>
      <c r="S79" s="5"/>
      <c r="T79" s="5"/>
      <c r="U79" s="5"/>
      <c r="V79" s="5"/>
      <c r="W79" s="5"/>
      <c r="X79" s="5"/>
      <c r="Y79" s="5"/>
      <c r="Z79" s="5"/>
    </row>
    <row r="80" ht="15.0" customHeight="1">
      <c r="A80" s="5"/>
      <c r="B80" s="52">
        <v>46063.0</v>
      </c>
      <c r="C80" s="54">
        <v>2.0</v>
      </c>
      <c r="D80" s="54"/>
      <c r="E80" s="54" t="s">
        <v>202</v>
      </c>
      <c r="F80" s="54"/>
      <c r="G80" s="54" t="s">
        <v>183</v>
      </c>
      <c r="H80" s="54"/>
      <c r="I80" s="54"/>
      <c r="J80" s="55">
        <v>8400000.0</v>
      </c>
      <c r="K80" s="54" t="s">
        <v>53</v>
      </c>
      <c r="L80" s="160" t="s">
        <v>210</v>
      </c>
      <c r="M80" s="5"/>
      <c r="N80" s="5"/>
      <c r="O80" s="5"/>
      <c r="P80" s="5"/>
      <c r="Q80" s="5"/>
      <c r="R80" s="5"/>
      <c r="S80" s="5"/>
      <c r="T80" s="5"/>
      <c r="U80" s="5"/>
      <c r="V80" s="5"/>
      <c r="W80" s="5"/>
      <c r="X80" s="5"/>
      <c r="Y80" s="5"/>
      <c r="Z80" s="5"/>
    </row>
    <row r="81" ht="15.0" customHeight="1">
      <c r="A81" s="5"/>
      <c r="B81" s="52">
        <v>46100.0</v>
      </c>
      <c r="C81" s="54">
        <v>1.0</v>
      </c>
      <c r="D81" s="54"/>
      <c r="E81" s="54"/>
      <c r="F81" s="54"/>
      <c r="G81" s="54" t="s">
        <v>186</v>
      </c>
      <c r="H81" s="54"/>
      <c r="I81" s="54" t="s">
        <v>211</v>
      </c>
      <c r="J81" s="55">
        <v>5000000.0</v>
      </c>
      <c r="K81" s="54" t="s">
        <v>53</v>
      </c>
      <c r="L81" s="160" t="s">
        <v>212</v>
      </c>
      <c r="M81" s="5"/>
      <c r="N81" s="5"/>
      <c r="O81" s="5"/>
      <c r="P81" s="5"/>
      <c r="Q81" s="5"/>
      <c r="R81" s="5"/>
      <c r="S81" s="5"/>
      <c r="T81" s="5"/>
      <c r="U81" s="5"/>
      <c r="V81" s="5"/>
      <c r="W81" s="5"/>
      <c r="X81" s="5"/>
      <c r="Y81" s="5"/>
      <c r="Z81" s="5"/>
    </row>
    <row r="82" ht="15.0" customHeight="1">
      <c r="A82" s="5"/>
      <c r="B82" s="52">
        <v>46106.0</v>
      </c>
      <c r="C82" s="54">
        <v>2.0</v>
      </c>
      <c r="D82" s="54"/>
      <c r="E82" s="54"/>
      <c r="F82" s="54"/>
      <c r="G82" s="54" t="s">
        <v>186</v>
      </c>
      <c r="H82" s="54"/>
      <c r="I82" s="54" t="s">
        <v>213</v>
      </c>
      <c r="J82" s="55">
        <v>1.0E7</v>
      </c>
      <c r="K82" s="54" t="s">
        <v>53</v>
      </c>
      <c r="L82" s="160" t="s">
        <v>212</v>
      </c>
      <c r="M82" s="5"/>
      <c r="N82" s="5"/>
      <c r="O82" s="5"/>
      <c r="P82" s="5"/>
      <c r="Q82" s="5"/>
      <c r="R82" s="5"/>
      <c r="S82" s="5"/>
      <c r="T82" s="5"/>
      <c r="U82" s="5"/>
      <c r="V82" s="5"/>
      <c r="W82" s="5"/>
      <c r="X82" s="5"/>
      <c r="Y82" s="5"/>
      <c r="Z82" s="5"/>
    </row>
    <row r="83" ht="15.0" customHeight="1">
      <c r="A83" s="5"/>
      <c r="B83" s="167">
        <v>46129.0</v>
      </c>
      <c r="C83" s="54">
        <v>3.0</v>
      </c>
      <c r="D83" s="54"/>
      <c r="E83" s="54"/>
      <c r="F83" s="54"/>
      <c r="G83" s="54"/>
      <c r="H83" s="54"/>
      <c r="I83" s="54"/>
      <c r="J83" s="55"/>
      <c r="K83" s="54" t="s">
        <v>53</v>
      </c>
      <c r="L83" s="168" t="s">
        <v>214</v>
      </c>
      <c r="M83" s="5"/>
      <c r="N83" s="5"/>
      <c r="O83" s="5"/>
      <c r="P83" s="5"/>
      <c r="Q83" s="5"/>
      <c r="R83" s="5"/>
      <c r="S83" s="5"/>
      <c r="T83" s="5"/>
      <c r="U83" s="5"/>
      <c r="V83" s="5"/>
      <c r="W83" s="5"/>
      <c r="X83" s="5"/>
      <c r="Y83" s="5"/>
      <c r="Z83" s="5"/>
    </row>
    <row r="84" ht="15.0" customHeight="1">
      <c r="A84" s="5"/>
      <c r="B84" s="163">
        <v>46238.0</v>
      </c>
      <c r="C84" s="164">
        <v>2.0</v>
      </c>
      <c r="D84" s="74"/>
      <c r="E84" s="74"/>
      <c r="F84" s="74"/>
      <c r="G84" s="164" t="s">
        <v>183</v>
      </c>
      <c r="H84" s="74"/>
      <c r="I84" s="74"/>
      <c r="J84" s="169">
        <v>1.22E7</v>
      </c>
      <c r="K84" s="164" t="s">
        <v>53</v>
      </c>
      <c r="L84" s="165" t="s">
        <v>216</v>
      </c>
      <c r="M84" s="5"/>
      <c r="N84" s="5"/>
      <c r="O84" s="5"/>
      <c r="P84" s="5"/>
      <c r="Q84" s="5"/>
      <c r="R84" s="5"/>
      <c r="S84" s="5"/>
      <c r="T84" s="5"/>
      <c r="U84" s="5"/>
      <c r="V84" s="5"/>
      <c r="W84" s="5"/>
      <c r="X84" s="5"/>
      <c r="Y84" s="5"/>
      <c r="Z84" s="5"/>
    </row>
    <row r="85" ht="15.0" customHeight="1">
      <c r="A85" s="5"/>
      <c r="B85" s="163">
        <v>46242.0</v>
      </c>
      <c r="C85" s="164">
        <v>2.0</v>
      </c>
      <c r="D85" s="74"/>
      <c r="E85" s="74"/>
      <c r="F85" s="74"/>
      <c r="G85" s="164" t="s">
        <v>183</v>
      </c>
      <c r="H85" s="74"/>
      <c r="I85" s="74"/>
      <c r="J85" s="169">
        <v>1.22E7</v>
      </c>
      <c r="K85" s="164" t="s">
        <v>53</v>
      </c>
      <c r="L85" s="170" t="s">
        <v>217</v>
      </c>
      <c r="M85" s="5"/>
      <c r="N85" s="5"/>
      <c r="O85" s="5"/>
      <c r="P85" s="5"/>
      <c r="Q85" s="5"/>
      <c r="R85" s="5"/>
      <c r="S85" s="5"/>
      <c r="T85" s="5"/>
      <c r="U85" s="5"/>
      <c r="V85" s="5"/>
      <c r="W85" s="5"/>
      <c r="X85" s="5"/>
      <c r="Y85" s="5"/>
      <c r="Z85" s="5"/>
    </row>
    <row r="86" ht="15.0" customHeight="1">
      <c r="A86" s="5"/>
      <c r="B86" s="72"/>
      <c r="C86" s="74"/>
      <c r="D86" s="74"/>
      <c r="E86" s="74"/>
      <c r="F86" s="74"/>
      <c r="G86" s="74"/>
      <c r="H86" s="74"/>
      <c r="I86" s="74"/>
      <c r="J86" s="76"/>
      <c r="K86" s="74"/>
      <c r="L86" s="165"/>
      <c r="M86" s="5"/>
      <c r="N86" s="5"/>
      <c r="O86" s="5"/>
      <c r="P86" s="5"/>
      <c r="Q86" s="5"/>
      <c r="R86" s="5"/>
      <c r="S86" s="5"/>
      <c r="T86" s="5"/>
      <c r="U86" s="5"/>
      <c r="V86" s="5"/>
      <c r="W86" s="5"/>
      <c r="X86" s="5"/>
      <c r="Y86" s="5"/>
      <c r="Z86" s="5"/>
    </row>
    <row r="87" ht="15.0" customHeight="1">
      <c r="A87" s="5"/>
      <c r="B87" s="72"/>
      <c r="C87" s="74"/>
      <c r="D87" s="74"/>
      <c r="E87" s="74"/>
      <c r="F87" s="74"/>
      <c r="G87" s="74"/>
      <c r="H87" s="74"/>
      <c r="I87" s="74"/>
      <c r="J87" s="76"/>
      <c r="K87" s="74"/>
      <c r="L87" s="166"/>
      <c r="M87" s="5"/>
      <c r="N87" s="5"/>
      <c r="O87" s="5"/>
      <c r="P87" s="5"/>
      <c r="Q87" s="5"/>
      <c r="R87" s="5"/>
      <c r="S87" s="5"/>
      <c r="T87" s="5"/>
      <c r="U87" s="5"/>
      <c r="V87" s="5"/>
      <c r="W87" s="5"/>
      <c r="X87" s="5"/>
      <c r="Y87" s="5"/>
      <c r="Z87" s="5"/>
    </row>
    <row r="88" ht="15.0" customHeight="1">
      <c r="A88" s="5"/>
      <c r="B88" s="72"/>
      <c r="C88" s="74"/>
      <c r="D88" s="74"/>
      <c r="E88" s="74"/>
      <c r="F88" s="74"/>
      <c r="G88" s="74"/>
      <c r="H88" s="74"/>
      <c r="I88" s="74"/>
      <c r="J88" s="76"/>
      <c r="K88" s="74"/>
      <c r="L88" s="166"/>
      <c r="M88" s="5"/>
      <c r="N88" s="5"/>
      <c r="O88" s="5"/>
      <c r="P88" s="5"/>
      <c r="Q88" s="5"/>
      <c r="R88" s="5"/>
      <c r="S88" s="5"/>
      <c r="T88" s="5"/>
      <c r="U88" s="5"/>
      <c r="V88" s="5"/>
      <c r="W88" s="5"/>
      <c r="X88" s="5"/>
      <c r="Y88" s="5"/>
      <c r="Z88" s="5"/>
    </row>
    <row r="89" ht="15.0" customHeight="1">
      <c r="A89" s="5"/>
      <c r="B89" s="72"/>
      <c r="C89" s="74"/>
      <c r="D89" s="74"/>
      <c r="E89" s="74"/>
      <c r="F89" s="74"/>
      <c r="G89" s="74"/>
      <c r="H89" s="74"/>
      <c r="I89" s="74"/>
      <c r="J89" s="76"/>
      <c r="K89" s="74"/>
      <c r="L89" s="166"/>
      <c r="M89" s="5"/>
      <c r="N89" s="5"/>
      <c r="O89" s="5"/>
      <c r="P89" s="5"/>
      <c r="Q89" s="5"/>
      <c r="R89" s="5"/>
      <c r="S89" s="5"/>
      <c r="T89" s="5"/>
      <c r="U89" s="5"/>
      <c r="V89" s="5"/>
      <c r="W89" s="5"/>
      <c r="X89" s="5"/>
      <c r="Y89" s="5"/>
      <c r="Z89" s="5"/>
    </row>
    <row r="90" ht="15.0" customHeight="1">
      <c r="A90" s="5"/>
      <c r="B90" s="72"/>
      <c r="C90" s="74"/>
      <c r="D90" s="74"/>
      <c r="E90" s="74"/>
      <c r="F90" s="74"/>
      <c r="G90" s="74"/>
      <c r="H90" s="74"/>
      <c r="I90" s="74"/>
      <c r="J90" s="76"/>
      <c r="K90" s="74"/>
      <c r="L90" s="166"/>
      <c r="M90" s="5"/>
      <c r="N90" s="5"/>
      <c r="O90" s="5"/>
      <c r="P90" s="5"/>
      <c r="Q90" s="5"/>
      <c r="R90" s="5"/>
      <c r="S90" s="5"/>
      <c r="T90" s="5"/>
      <c r="U90" s="5"/>
      <c r="V90" s="5"/>
      <c r="W90" s="5"/>
      <c r="X90" s="5"/>
      <c r="Y90" s="5"/>
      <c r="Z90" s="5"/>
    </row>
    <row r="91" ht="15.0" customHeight="1">
      <c r="A91" s="5"/>
      <c r="B91" s="72"/>
      <c r="C91" s="74"/>
      <c r="D91" s="74"/>
      <c r="E91" s="74"/>
      <c r="F91" s="74"/>
      <c r="G91" s="74"/>
      <c r="H91" s="74"/>
      <c r="I91" s="74"/>
      <c r="J91" s="76"/>
      <c r="K91" s="74"/>
      <c r="L91" s="166"/>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9.5" customHeight="1">
      <c r="A93" s="5"/>
      <c r="B93" s="159" t="str">
        <f>"③  " &amp; "63F-005.12" &amp; "   —   " &amp; SUMPRODUCT((ISNUMBER($B$95:$B$104))*N($C$95:$C$104)) &amp; " vỏ · " &amp; TEXT(SUM($J$95:$J$104),"#,##0") &amp; "đ" &amp; IF(SUMIF($K$95:$K$104,"Chưa thanh toán",$J$95:$J$104)&gt;0," · còn nợ "&amp;TEXT(SUMIF($K$95:$K$104,"Chưa thanh toán",$J$95:$J$104),"#,##0")&amp;"đ","")</f>
        <v>③  63F-005.12   —   3 vỏ · 9.800.000đ</v>
      </c>
      <c r="C93" s="2"/>
      <c r="D93" s="2"/>
      <c r="E93" s="2"/>
      <c r="F93" s="2"/>
      <c r="G93" s="2"/>
      <c r="H93" s="2"/>
      <c r="I93" s="2"/>
      <c r="J93" s="2"/>
      <c r="K93" s="2"/>
      <c r="L93" s="4"/>
      <c r="M93" s="5"/>
      <c r="N93" s="5"/>
      <c r="O93" s="5"/>
      <c r="P93" s="5"/>
      <c r="Q93" s="5"/>
      <c r="R93" s="5"/>
      <c r="S93" s="5"/>
      <c r="T93" s="5"/>
      <c r="U93" s="5"/>
      <c r="V93" s="5"/>
      <c r="W93" s="5"/>
      <c r="X93" s="5"/>
      <c r="Y93" s="5"/>
      <c r="Z93" s="5"/>
    </row>
    <row r="94" ht="25.5" customHeight="1">
      <c r="A94" s="5"/>
      <c r="B94" s="40" t="s">
        <v>127</v>
      </c>
      <c r="C94" s="40" t="s">
        <v>177</v>
      </c>
      <c r="D94" s="40" t="s">
        <v>178</v>
      </c>
      <c r="E94" s="40" t="s">
        <v>179</v>
      </c>
      <c r="F94" s="40" t="s">
        <v>180</v>
      </c>
      <c r="G94" s="40" t="s">
        <v>181</v>
      </c>
      <c r="H94" s="40" t="s">
        <v>182</v>
      </c>
      <c r="I94" s="40" t="s">
        <v>48</v>
      </c>
      <c r="J94" s="40" t="s">
        <v>49</v>
      </c>
      <c r="K94" s="40" t="s">
        <v>50</v>
      </c>
      <c r="L94" s="40" t="s">
        <v>19</v>
      </c>
      <c r="M94" s="5"/>
      <c r="N94" s="5"/>
      <c r="O94" s="5"/>
      <c r="P94" s="5"/>
      <c r="Q94" s="5"/>
      <c r="R94" s="5"/>
      <c r="S94" s="5"/>
      <c r="T94" s="5"/>
      <c r="U94" s="5"/>
      <c r="V94" s="5"/>
      <c r="W94" s="5"/>
      <c r="X94" s="5"/>
      <c r="Y94" s="5"/>
      <c r="Z94" s="5"/>
    </row>
    <row r="95" ht="15.0" customHeight="1">
      <c r="A95" s="5"/>
      <c r="B95" s="52">
        <v>46163.0</v>
      </c>
      <c r="C95" s="54">
        <v>2.0</v>
      </c>
      <c r="D95" s="54"/>
      <c r="E95" s="54"/>
      <c r="F95" s="54"/>
      <c r="G95" s="54" t="s">
        <v>186</v>
      </c>
      <c r="H95" s="54"/>
      <c r="I95" s="54" t="s">
        <v>220</v>
      </c>
      <c r="J95" s="55">
        <v>9800000.0</v>
      </c>
      <c r="K95" s="54" t="s">
        <v>53</v>
      </c>
      <c r="L95" s="160" t="s">
        <v>197</v>
      </c>
      <c r="M95" s="5"/>
      <c r="N95" s="5"/>
      <c r="O95" s="5"/>
      <c r="P95" s="5"/>
      <c r="Q95" s="5"/>
      <c r="R95" s="5"/>
      <c r="S95" s="5"/>
      <c r="T95" s="5"/>
      <c r="U95" s="5"/>
      <c r="V95" s="5"/>
      <c r="W95" s="5"/>
      <c r="X95" s="5"/>
      <c r="Y95" s="5"/>
      <c r="Z95" s="5"/>
    </row>
    <row r="96" ht="15.0" customHeight="1">
      <c r="A96" s="5"/>
      <c r="B96" s="167">
        <v>46222.0</v>
      </c>
      <c r="C96" s="162">
        <v>1.0</v>
      </c>
      <c r="D96" s="54"/>
      <c r="E96" s="54"/>
      <c r="F96" s="54"/>
      <c r="G96" s="54"/>
      <c r="H96" s="54" t="s">
        <v>224</v>
      </c>
      <c r="I96" s="54"/>
      <c r="J96" s="55"/>
      <c r="K96" s="54" t="s">
        <v>53</v>
      </c>
      <c r="L96" s="160" t="s">
        <v>225</v>
      </c>
      <c r="M96" s="5"/>
      <c r="N96" s="5"/>
      <c r="O96" s="5"/>
      <c r="P96" s="5"/>
      <c r="Q96" s="5"/>
      <c r="R96" s="5"/>
      <c r="S96" s="5"/>
      <c r="T96" s="5"/>
      <c r="U96" s="5"/>
      <c r="V96" s="5"/>
      <c r="W96" s="5"/>
      <c r="X96" s="5"/>
      <c r="Y96" s="5"/>
      <c r="Z96" s="5"/>
    </row>
    <row r="97" ht="15.0" customHeight="1">
      <c r="A97" s="5"/>
      <c r="B97" s="59"/>
      <c r="C97" s="173"/>
      <c r="D97" s="63"/>
      <c r="E97" s="63"/>
      <c r="F97" s="63"/>
      <c r="G97" s="63"/>
      <c r="H97" s="63"/>
      <c r="I97" s="63"/>
      <c r="J97" s="65"/>
      <c r="K97" s="63"/>
      <c r="L97" s="174" t="s">
        <v>226</v>
      </c>
      <c r="M97" s="5"/>
      <c r="N97" s="5"/>
      <c r="O97" s="5"/>
      <c r="P97" s="5"/>
      <c r="Q97" s="5"/>
      <c r="R97" s="5"/>
      <c r="S97" s="5"/>
      <c r="T97" s="5"/>
      <c r="U97" s="5"/>
      <c r="V97" s="5"/>
      <c r="W97" s="5"/>
      <c r="X97" s="5"/>
      <c r="Y97" s="5"/>
      <c r="Z97" s="5"/>
    </row>
    <row r="98" ht="15.0" customHeight="1">
      <c r="A98" s="5"/>
      <c r="B98" s="59"/>
      <c r="C98" s="63"/>
      <c r="D98" s="63"/>
      <c r="E98" s="63"/>
      <c r="F98" s="63"/>
      <c r="G98" s="63"/>
      <c r="H98" s="63"/>
      <c r="I98" s="63"/>
      <c r="J98" s="65"/>
      <c r="K98" s="63"/>
      <c r="L98" s="161"/>
      <c r="M98" s="5"/>
      <c r="N98" s="5"/>
      <c r="O98" s="5"/>
      <c r="P98" s="5"/>
      <c r="Q98" s="5"/>
      <c r="R98" s="5"/>
      <c r="S98" s="5"/>
      <c r="T98" s="5"/>
      <c r="U98" s="5"/>
      <c r="V98" s="5"/>
      <c r="W98" s="5"/>
      <c r="X98" s="5"/>
      <c r="Y98" s="5"/>
      <c r="Z98" s="5"/>
    </row>
    <row r="99" ht="15.0" customHeight="1">
      <c r="A99" s="5"/>
      <c r="B99" s="59"/>
      <c r="C99" s="63"/>
      <c r="D99" s="63"/>
      <c r="E99" s="63"/>
      <c r="F99" s="63"/>
      <c r="G99" s="63"/>
      <c r="H99" s="63"/>
      <c r="I99" s="63"/>
      <c r="J99" s="65"/>
      <c r="K99" s="63"/>
      <c r="L99" s="161"/>
      <c r="M99" s="5"/>
      <c r="N99" s="5"/>
      <c r="O99" s="5"/>
      <c r="P99" s="5"/>
      <c r="Q99" s="5"/>
      <c r="R99" s="5"/>
      <c r="S99" s="5"/>
      <c r="T99" s="5"/>
      <c r="U99" s="5"/>
      <c r="V99" s="5"/>
      <c r="W99" s="5"/>
      <c r="X99" s="5"/>
      <c r="Y99" s="5"/>
      <c r="Z99" s="5"/>
    </row>
    <row r="100" ht="15.0" customHeight="1">
      <c r="A100" s="5"/>
      <c r="B100" s="59"/>
      <c r="C100" s="63"/>
      <c r="D100" s="63"/>
      <c r="E100" s="63"/>
      <c r="F100" s="63"/>
      <c r="G100" s="63"/>
      <c r="H100" s="63"/>
      <c r="I100" s="63"/>
      <c r="J100" s="65"/>
      <c r="K100" s="63"/>
      <c r="L100" s="161"/>
      <c r="M100" s="5"/>
      <c r="N100" s="5"/>
      <c r="O100" s="5"/>
      <c r="P100" s="5"/>
      <c r="Q100" s="5"/>
      <c r="R100" s="5"/>
      <c r="S100" s="5"/>
      <c r="T100" s="5"/>
      <c r="U100" s="5"/>
      <c r="V100" s="5"/>
      <c r="W100" s="5"/>
      <c r="X100" s="5"/>
      <c r="Y100" s="5"/>
      <c r="Z100" s="5"/>
    </row>
    <row r="101" ht="15.0" customHeight="1">
      <c r="A101" s="5"/>
      <c r="B101" s="59"/>
      <c r="C101" s="63"/>
      <c r="D101" s="63"/>
      <c r="E101" s="63"/>
      <c r="F101" s="63"/>
      <c r="G101" s="63"/>
      <c r="H101" s="63"/>
      <c r="I101" s="63"/>
      <c r="J101" s="65"/>
      <c r="K101" s="63"/>
      <c r="L101" s="161"/>
      <c r="M101" s="5"/>
      <c r="N101" s="5"/>
      <c r="O101" s="5"/>
      <c r="P101" s="5"/>
      <c r="Q101" s="5"/>
      <c r="R101" s="5"/>
      <c r="S101" s="5"/>
      <c r="T101" s="5"/>
      <c r="U101" s="5"/>
      <c r="V101" s="5"/>
      <c r="W101" s="5"/>
      <c r="X101" s="5"/>
      <c r="Y101" s="5"/>
      <c r="Z101" s="5"/>
    </row>
    <row r="102" ht="15.0" customHeight="1">
      <c r="A102" s="5"/>
      <c r="B102" s="59"/>
      <c r="C102" s="63"/>
      <c r="D102" s="63"/>
      <c r="E102" s="63"/>
      <c r="F102" s="63"/>
      <c r="G102" s="63"/>
      <c r="H102" s="63"/>
      <c r="I102" s="63"/>
      <c r="J102" s="65"/>
      <c r="K102" s="63"/>
      <c r="L102" s="161"/>
      <c r="M102" s="5"/>
      <c r="N102" s="5"/>
      <c r="O102" s="5"/>
      <c r="P102" s="5"/>
      <c r="Q102" s="5"/>
      <c r="R102" s="5"/>
      <c r="S102" s="5"/>
      <c r="T102" s="5"/>
      <c r="U102" s="5"/>
      <c r="V102" s="5"/>
      <c r="W102" s="5"/>
      <c r="X102" s="5"/>
      <c r="Y102" s="5"/>
      <c r="Z102" s="5"/>
    </row>
    <row r="103" ht="15.0" customHeight="1">
      <c r="A103" s="5"/>
      <c r="B103" s="59"/>
      <c r="C103" s="63"/>
      <c r="D103" s="63"/>
      <c r="E103" s="63"/>
      <c r="F103" s="63"/>
      <c r="G103" s="63"/>
      <c r="H103" s="63"/>
      <c r="I103" s="63"/>
      <c r="J103" s="65"/>
      <c r="K103" s="63"/>
      <c r="L103" s="161"/>
      <c r="M103" s="5"/>
      <c r="N103" s="5"/>
      <c r="O103" s="5"/>
      <c r="P103" s="5"/>
      <c r="Q103" s="5"/>
      <c r="R103" s="5"/>
      <c r="S103" s="5"/>
      <c r="T103" s="5"/>
      <c r="U103" s="5"/>
      <c r="V103" s="5"/>
      <c r="W103" s="5"/>
      <c r="X103" s="5"/>
      <c r="Y103" s="5"/>
      <c r="Z103" s="5"/>
    </row>
    <row r="104" ht="15.0" customHeight="1">
      <c r="A104" s="5"/>
      <c r="B104" s="59"/>
      <c r="C104" s="63"/>
      <c r="D104" s="63"/>
      <c r="E104" s="63"/>
      <c r="F104" s="63"/>
      <c r="G104" s="63"/>
      <c r="H104" s="63"/>
      <c r="I104" s="63"/>
      <c r="J104" s="65"/>
      <c r="K104" s="63"/>
      <c r="L104" s="161"/>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9.5" customHeight="1">
      <c r="A106" s="5"/>
      <c r="B106" s="159" t="str">
        <f>"③  " &amp; "63F-005.38" &amp; "   —   " &amp; SUMPRODUCT((ISNUMBER($B$108:$B$119))*N($C$108:$C$119)) &amp; " vỏ · " &amp; TEXT(SUM($J$108:$J$119),"#,##0") &amp; "đ" &amp; IF(SUMIF($K$108:$K$119,"Chưa thanh toán",$J$108:$J$119)&gt;0," · còn nợ "&amp;TEXT(SUMIF($K$108:$K$119,"Chưa thanh toán",$J$108:$J$119),"#,##0")&amp;"đ","")</f>
        <v>③  63F-005.38   —   12 vỏ · 75.700.000đ</v>
      </c>
      <c r="C106" s="2"/>
      <c r="D106" s="2"/>
      <c r="E106" s="2"/>
      <c r="F106" s="2"/>
      <c r="G106" s="2"/>
      <c r="H106" s="2"/>
      <c r="I106" s="2"/>
      <c r="J106" s="2"/>
      <c r="K106" s="2"/>
      <c r="L106" s="4"/>
      <c r="M106" s="5"/>
      <c r="N106" s="5"/>
      <c r="O106" s="5"/>
      <c r="P106" s="5"/>
      <c r="Q106" s="5"/>
      <c r="R106" s="5"/>
      <c r="S106" s="5"/>
      <c r="T106" s="5"/>
      <c r="U106" s="5"/>
      <c r="V106" s="5"/>
      <c r="W106" s="5"/>
      <c r="X106" s="5"/>
      <c r="Y106" s="5"/>
      <c r="Z106" s="5"/>
    </row>
    <row r="107" ht="25.5" customHeight="1">
      <c r="A107" s="5"/>
      <c r="B107" s="70" t="s">
        <v>127</v>
      </c>
      <c r="C107" s="70" t="s">
        <v>177</v>
      </c>
      <c r="D107" s="70" t="s">
        <v>178</v>
      </c>
      <c r="E107" s="70" t="s">
        <v>179</v>
      </c>
      <c r="F107" s="70" t="s">
        <v>180</v>
      </c>
      <c r="G107" s="70" t="s">
        <v>181</v>
      </c>
      <c r="H107" s="70" t="s">
        <v>182</v>
      </c>
      <c r="I107" s="70" t="s">
        <v>48</v>
      </c>
      <c r="J107" s="70" t="s">
        <v>49</v>
      </c>
      <c r="K107" s="70" t="s">
        <v>50</v>
      </c>
      <c r="L107" s="70" t="s">
        <v>19</v>
      </c>
      <c r="M107" s="5"/>
      <c r="N107" s="5"/>
      <c r="O107" s="5"/>
      <c r="P107" s="5"/>
      <c r="Q107" s="5"/>
      <c r="R107" s="5"/>
      <c r="S107" s="5"/>
      <c r="T107" s="5"/>
      <c r="U107" s="5"/>
      <c r="V107" s="5"/>
      <c r="W107" s="5"/>
      <c r="X107" s="5"/>
      <c r="Y107" s="5"/>
      <c r="Z107" s="5"/>
    </row>
    <row r="108" ht="15.0" customHeight="1">
      <c r="A108" s="5"/>
      <c r="B108" s="52">
        <v>46041.0</v>
      </c>
      <c r="C108" s="54">
        <v>2.0</v>
      </c>
      <c r="D108" s="54"/>
      <c r="E108" s="54" t="s">
        <v>202</v>
      </c>
      <c r="F108" s="54"/>
      <c r="G108" s="54" t="s">
        <v>193</v>
      </c>
      <c r="H108" s="54"/>
      <c r="I108" s="54"/>
      <c r="J108" s="55">
        <v>8400000.0</v>
      </c>
      <c r="K108" s="54" t="s">
        <v>53</v>
      </c>
      <c r="L108" s="160" t="s">
        <v>227</v>
      </c>
      <c r="M108" s="5"/>
      <c r="N108" s="5"/>
      <c r="O108" s="5"/>
      <c r="P108" s="5"/>
      <c r="Q108" s="5"/>
      <c r="R108" s="5"/>
      <c r="S108" s="5"/>
      <c r="T108" s="5"/>
      <c r="U108" s="5"/>
      <c r="V108" s="5"/>
      <c r="W108" s="5"/>
      <c r="X108" s="5"/>
      <c r="Y108" s="5"/>
      <c r="Z108" s="5"/>
    </row>
    <row r="109" ht="15.0" customHeight="1">
      <c r="A109" s="5"/>
      <c r="B109" s="52">
        <v>46054.0</v>
      </c>
      <c r="C109" s="54">
        <v>4.0</v>
      </c>
      <c r="D109" s="54"/>
      <c r="E109" s="54" t="s">
        <v>202</v>
      </c>
      <c r="F109" s="54"/>
      <c r="G109" s="54" t="s">
        <v>186</v>
      </c>
      <c r="H109" s="54"/>
      <c r="I109" s="54" t="s">
        <v>228</v>
      </c>
      <c r="J109" s="55">
        <v>3.9E7</v>
      </c>
      <c r="K109" s="54" t="s">
        <v>53</v>
      </c>
      <c r="L109" s="160" t="s">
        <v>229</v>
      </c>
      <c r="M109" s="5"/>
      <c r="N109" s="5"/>
      <c r="O109" s="5"/>
      <c r="P109" s="5"/>
      <c r="Q109" s="5"/>
      <c r="R109" s="5"/>
      <c r="S109" s="5"/>
      <c r="T109" s="5"/>
      <c r="U109" s="5"/>
      <c r="V109" s="5"/>
      <c r="W109" s="5"/>
      <c r="X109" s="5"/>
      <c r="Y109" s="5"/>
      <c r="Z109" s="5"/>
    </row>
    <row r="110" ht="15.0" customHeight="1">
      <c r="A110" s="5"/>
      <c r="B110" s="52">
        <v>46176.0</v>
      </c>
      <c r="C110" s="54">
        <v>4.0</v>
      </c>
      <c r="D110" s="54"/>
      <c r="E110" s="54"/>
      <c r="F110" s="54"/>
      <c r="G110" s="54" t="s">
        <v>198</v>
      </c>
      <c r="H110" s="54"/>
      <c r="I110" s="54"/>
      <c r="J110" s="55">
        <v>1.88E7</v>
      </c>
      <c r="K110" s="54" t="s">
        <v>53</v>
      </c>
      <c r="L110" s="160" t="s">
        <v>230</v>
      </c>
      <c r="M110" s="5"/>
      <c r="N110" s="5"/>
      <c r="O110" s="5"/>
      <c r="P110" s="5"/>
      <c r="Q110" s="5"/>
      <c r="R110" s="5"/>
      <c r="S110" s="5"/>
      <c r="T110" s="5"/>
      <c r="U110" s="5"/>
      <c r="V110" s="5"/>
      <c r="W110" s="5"/>
      <c r="X110" s="5"/>
      <c r="Y110" s="5"/>
      <c r="Z110" s="5"/>
    </row>
    <row r="111" ht="15.0" customHeight="1">
      <c r="A111" s="5"/>
      <c r="B111" s="52">
        <v>46179.0</v>
      </c>
      <c r="C111" s="54">
        <v>2.0</v>
      </c>
      <c r="D111" s="54"/>
      <c r="E111" s="54"/>
      <c r="F111" s="54"/>
      <c r="G111" s="54" t="s">
        <v>231</v>
      </c>
      <c r="H111" s="54"/>
      <c r="I111" s="54"/>
      <c r="J111" s="55">
        <v>9500000.0</v>
      </c>
      <c r="K111" s="54" t="s">
        <v>53</v>
      </c>
      <c r="L111" s="160" t="s">
        <v>232</v>
      </c>
      <c r="M111" s="5"/>
      <c r="N111" s="5"/>
      <c r="O111" s="5"/>
      <c r="P111" s="5"/>
      <c r="Q111" s="5"/>
      <c r="R111" s="5"/>
      <c r="S111" s="5"/>
      <c r="T111" s="5"/>
      <c r="U111" s="5"/>
      <c r="V111" s="5"/>
      <c r="W111" s="5"/>
      <c r="X111" s="5"/>
      <c r="Y111" s="5"/>
      <c r="Z111" s="5"/>
    </row>
    <row r="112" ht="15.0" customHeight="1">
      <c r="A112" s="5"/>
      <c r="B112" s="72"/>
      <c r="C112" s="74"/>
      <c r="D112" s="74"/>
      <c r="E112" s="74"/>
      <c r="F112" s="74"/>
      <c r="G112" s="74"/>
      <c r="H112" s="74"/>
      <c r="I112" s="74"/>
      <c r="J112" s="76"/>
      <c r="K112" s="74"/>
      <c r="L112" s="166"/>
      <c r="M112" s="5"/>
      <c r="N112" s="5"/>
      <c r="O112" s="5"/>
      <c r="P112" s="5"/>
      <c r="Q112" s="5"/>
      <c r="R112" s="5"/>
      <c r="S112" s="5"/>
      <c r="T112" s="5"/>
      <c r="U112" s="5"/>
      <c r="V112" s="5"/>
      <c r="W112" s="5"/>
      <c r="X112" s="5"/>
      <c r="Y112" s="5"/>
      <c r="Z112" s="5"/>
    </row>
    <row r="113" ht="15.0" customHeight="1">
      <c r="A113" s="5"/>
      <c r="B113" s="72"/>
      <c r="C113" s="74"/>
      <c r="D113" s="74"/>
      <c r="E113" s="74"/>
      <c r="F113" s="74"/>
      <c r="G113" s="74"/>
      <c r="H113" s="74"/>
      <c r="I113" s="74"/>
      <c r="J113" s="76"/>
      <c r="K113" s="74"/>
      <c r="L113" s="166"/>
      <c r="M113" s="5"/>
      <c r="N113" s="5"/>
      <c r="O113" s="5"/>
      <c r="P113" s="5"/>
      <c r="Q113" s="5"/>
      <c r="R113" s="5"/>
      <c r="S113" s="5"/>
      <c r="T113" s="5"/>
      <c r="U113" s="5"/>
      <c r="V113" s="5"/>
      <c r="W113" s="5"/>
      <c r="X113" s="5"/>
      <c r="Y113" s="5"/>
      <c r="Z113" s="5"/>
    </row>
    <row r="114" ht="15.0" customHeight="1">
      <c r="A114" s="5"/>
      <c r="B114" s="72"/>
      <c r="C114" s="74"/>
      <c r="D114" s="74"/>
      <c r="E114" s="74"/>
      <c r="F114" s="74"/>
      <c r="G114" s="74"/>
      <c r="H114" s="74"/>
      <c r="I114" s="74"/>
      <c r="J114" s="76"/>
      <c r="K114" s="74"/>
      <c r="L114" s="166"/>
      <c r="M114" s="5"/>
      <c r="N114" s="5"/>
      <c r="O114" s="5"/>
      <c r="P114" s="5"/>
      <c r="Q114" s="5"/>
      <c r="R114" s="5"/>
      <c r="S114" s="5"/>
      <c r="T114" s="5"/>
      <c r="U114" s="5"/>
      <c r="V114" s="5"/>
      <c r="W114" s="5"/>
      <c r="X114" s="5"/>
      <c r="Y114" s="5"/>
      <c r="Z114" s="5"/>
    </row>
    <row r="115" ht="15.0" customHeight="1">
      <c r="A115" s="5"/>
      <c r="B115" s="72"/>
      <c r="C115" s="74"/>
      <c r="D115" s="74"/>
      <c r="E115" s="74"/>
      <c r="F115" s="74"/>
      <c r="G115" s="74"/>
      <c r="H115" s="74"/>
      <c r="I115" s="74"/>
      <c r="J115" s="76"/>
      <c r="K115" s="74"/>
      <c r="L115" s="166"/>
      <c r="M115" s="5"/>
      <c r="N115" s="5"/>
      <c r="O115" s="5"/>
      <c r="P115" s="5"/>
      <c r="Q115" s="5"/>
      <c r="R115" s="5"/>
      <c r="S115" s="5"/>
      <c r="T115" s="5"/>
      <c r="U115" s="5"/>
      <c r="V115" s="5"/>
      <c r="W115" s="5"/>
      <c r="X115" s="5"/>
      <c r="Y115" s="5"/>
      <c r="Z115" s="5"/>
    </row>
    <row r="116" ht="15.0" customHeight="1">
      <c r="A116" s="5"/>
      <c r="B116" s="72"/>
      <c r="C116" s="74"/>
      <c r="D116" s="74"/>
      <c r="E116" s="74"/>
      <c r="F116" s="74"/>
      <c r="G116" s="74"/>
      <c r="H116" s="74"/>
      <c r="I116" s="74"/>
      <c r="J116" s="76"/>
      <c r="K116" s="74"/>
      <c r="L116" s="166"/>
      <c r="M116" s="5"/>
      <c r="N116" s="5"/>
      <c r="O116" s="5"/>
      <c r="P116" s="5"/>
      <c r="Q116" s="5"/>
      <c r="R116" s="5"/>
      <c r="S116" s="5"/>
      <c r="T116" s="5"/>
      <c r="U116" s="5"/>
      <c r="V116" s="5"/>
      <c r="W116" s="5"/>
      <c r="X116" s="5"/>
      <c r="Y116" s="5"/>
      <c r="Z116" s="5"/>
    </row>
    <row r="117" ht="15.0" customHeight="1">
      <c r="A117" s="5"/>
      <c r="B117" s="72"/>
      <c r="C117" s="74"/>
      <c r="D117" s="74"/>
      <c r="E117" s="74"/>
      <c r="F117" s="74"/>
      <c r="G117" s="74"/>
      <c r="H117" s="74"/>
      <c r="I117" s="74"/>
      <c r="J117" s="76"/>
      <c r="K117" s="74"/>
      <c r="L117" s="166"/>
      <c r="M117" s="5"/>
      <c r="N117" s="5"/>
      <c r="O117" s="5"/>
      <c r="P117" s="5"/>
      <c r="Q117" s="5"/>
      <c r="R117" s="5"/>
      <c r="S117" s="5"/>
      <c r="T117" s="5"/>
      <c r="U117" s="5"/>
      <c r="V117" s="5"/>
      <c r="W117" s="5"/>
      <c r="X117" s="5"/>
      <c r="Y117" s="5"/>
      <c r="Z117" s="5"/>
    </row>
    <row r="118" ht="15.0" customHeight="1">
      <c r="A118" s="5"/>
      <c r="B118" s="72"/>
      <c r="C118" s="74"/>
      <c r="D118" s="74"/>
      <c r="E118" s="74"/>
      <c r="F118" s="74"/>
      <c r="G118" s="74"/>
      <c r="H118" s="74"/>
      <c r="I118" s="74"/>
      <c r="J118" s="76"/>
      <c r="K118" s="74"/>
      <c r="L118" s="166"/>
      <c r="M118" s="5"/>
      <c r="N118" s="5"/>
      <c r="O118" s="5"/>
      <c r="P118" s="5"/>
      <c r="Q118" s="5"/>
      <c r="R118" s="5"/>
      <c r="S118" s="5"/>
      <c r="T118" s="5"/>
      <c r="U118" s="5"/>
      <c r="V118" s="5"/>
      <c r="W118" s="5"/>
      <c r="X118" s="5"/>
      <c r="Y118" s="5"/>
      <c r="Z118" s="5"/>
    </row>
    <row r="119" ht="15.0" customHeight="1">
      <c r="A119" s="5"/>
      <c r="B119" s="72"/>
      <c r="C119" s="74"/>
      <c r="D119" s="74"/>
      <c r="E119" s="74"/>
      <c r="F119" s="74"/>
      <c r="G119" s="74"/>
      <c r="H119" s="74"/>
      <c r="I119" s="74"/>
      <c r="J119" s="76"/>
      <c r="K119" s="74"/>
      <c r="L119" s="166"/>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9.5" customHeight="1">
      <c r="A121" s="5"/>
      <c r="B121" s="159" t="str">
        <f>"③  " &amp; "63E 011.08" &amp; "   —   " &amp; SUMPRODUCT((ISNUMBER($B$123:$B$136))*N($C$123:$C$136)) &amp; " vỏ · " &amp; TEXT(SUM($J$123:$J$136),"#,##0") &amp; "đ" &amp; IF(SUMIF($K$123:$K$136,"Chưa thanh toán",$J$123:$J$136)&gt;0," · còn nợ "&amp;TEXT(SUMIF($K$123:$K$136,"Chưa thanh toán",$J$123:$J$136),"#,##0")&amp;"đ","")</f>
        <v>③  63E 011.08   —   14 vỏ · 55.800.000đ</v>
      </c>
      <c r="C121" s="2"/>
      <c r="D121" s="2"/>
      <c r="E121" s="2"/>
      <c r="F121" s="2"/>
      <c r="G121" s="2"/>
      <c r="H121" s="2"/>
      <c r="I121" s="2"/>
      <c r="J121" s="2"/>
      <c r="K121" s="2"/>
      <c r="L121" s="4"/>
      <c r="M121" s="5"/>
      <c r="N121" s="5"/>
      <c r="O121" s="5"/>
      <c r="P121" s="5"/>
      <c r="Q121" s="5"/>
      <c r="R121" s="5"/>
      <c r="S121" s="5"/>
      <c r="T121" s="5"/>
      <c r="U121" s="5"/>
      <c r="V121" s="5"/>
      <c r="W121" s="5"/>
      <c r="X121" s="5"/>
      <c r="Y121" s="5"/>
      <c r="Z121" s="5"/>
    </row>
    <row r="122" ht="25.5" customHeight="1">
      <c r="A122" s="5"/>
      <c r="B122" s="40" t="s">
        <v>127</v>
      </c>
      <c r="C122" s="40" t="s">
        <v>177</v>
      </c>
      <c r="D122" s="40" t="s">
        <v>178</v>
      </c>
      <c r="E122" s="40" t="s">
        <v>179</v>
      </c>
      <c r="F122" s="40" t="s">
        <v>180</v>
      </c>
      <c r="G122" s="40" t="s">
        <v>181</v>
      </c>
      <c r="H122" s="40" t="s">
        <v>182</v>
      </c>
      <c r="I122" s="40" t="s">
        <v>48</v>
      </c>
      <c r="J122" s="40" t="s">
        <v>49</v>
      </c>
      <c r="K122" s="40" t="s">
        <v>50</v>
      </c>
      <c r="L122" s="40" t="s">
        <v>19</v>
      </c>
      <c r="M122" s="5"/>
      <c r="N122" s="5"/>
      <c r="O122" s="5"/>
      <c r="P122" s="5"/>
      <c r="Q122" s="5"/>
      <c r="R122" s="5"/>
      <c r="S122" s="5"/>
      <c r="T122" s="5"/>
      <c r="U122" s="5"/>
      <c r="V122" s="5"/>
      <c r="W122" s="5"/>
      <c r="X122" s="5"/>
      <c r="Y122" s="5"/>
      <c r="Z122" s="5"/>
    </row>
    <row r="123" ht="15.0" customHeight="1">
      <c r="A123" s="5"/>
      <c r="B123" s="52">
        <v>46039.0</v>
      </c>
      <c r="C123" s="54">
        <v>2.0</v>
      </c>
      <c r="D123" s="54"/>
      <c r="E123" s="54"/>
      <c r="F123" s="54"/>
      <c r="G123" s="54" t="s">
        <v>193</v>
      </c>
      <c r="H123" s="54"/>
      <c r="I123" s="54"/>
      <c r="J123" s="55">
        <v>8600000.0</v>
      </c>
      <c r="K123" s="54" t="s">
        <v>53</v>
      </c>
      <c r="L123" s="160" t="s">
        <v>233</v>
      </c>
      <c r="M123" s="5"/>
      <c r="N123" s="5"/>
      <c r="O123" s="5"/>
      <c r="P123" s="5"/>
      <c r="Q123" s="5"/>
      <c r="R123" s="5"/>
      <c r="S123" s="5"/>
      <c r="T123" s="5"/>
      <c r="U123" s="5"/>
      <c r="V123" s="5"/>
      <c r="W123" s="5"/>
      <c r="X123" s="5"/>
      <c r="Y123" s="5"/>
      <c r="Z123" s="5"/>
    </row>
    <row r="124" ht="15.0" customHeight="1">
      <c r="A124" s="5"/>
      <c r="B124" s="52">
        <v>46049.0</v>
      </c>
      <c r="C124" s="54">
        <v>2.0</v>
      </c>
      <c r="D124" s="54"/>
      <c r="E124" s="54"/>
      <c r="F124" s="54"/>
      <c r="G124" s="54" t="s">
        <v>193</v>
      </c>
      <c r="H124" s="54"/>
      <c r="I124" s="54"/>
      <c r="J124" s="55">
        <v>8600000.0</v>
      </c>
      <c r="K124" s="54" t="s">
        <v>53</v>
      </c>
      <c r="L124" s="160" t="s">
        <v>194</v>
      </c>
      <c r="M124" s="5"/>
      <c r="N124" s="5"/>
      <c r="O124" s="5"/>
      <c r="P124" s="5"/>
      <c r="Q124" s="5"/>
      <c r="R124" s="5"/>
      <c r="S124" s="5"/>
      <c r="T124" s="5"/>
      <c r="U124" s="5"/>
      <c r="V124" s="5"/>
      <c r="W124" s="5"/>
      <c r="X124" s="5"/>
      <c r="Y124" s="5"/>
      <c r="Z124" s="5"/>
    </row>
    <row r="125" ht="15.0" customHeight="1">
      <c r="A125" s="5"/>
      <c r="B125" s="52">
        <v>46080.0</v>
      </c>
      <c r="C125" s="54">
        <v>2.0</v>
      </c>
      <c r="D125" s="54"/>
      <c r="E125" s="54" t="s">
        <v>202</v>
      </c>
      <c r="F125" s="54"/>
      <c r="G125" s="54" t="s">
        <v>193</v>
      </c>
      <c r="H125" s="54"/>
      <c r="I125" s="54"/>
      <c r="J125" s="55">
        <v>8600000.0</v>
      </c>
      <c r="K125" s="54" t="s">
        <v>53</v>
      </c>
      <c r="L125" s="160" t="s">
        <v>235</v>
      </c>
      <c r="M125" s="5"/>
      <c r="N125" s="5"/>
      <c r="O125" s="5"/>
      <c r="P125" s="5"/>
      <c r="Q125" s="5"/>
      <c r="R125" s="5"/>
      <c r="S125" s="5"/>
      <c r="T125" s="5"/>
      <c r="U125" s="5"/>
      <c r="V125" s="5"/>
      <c r="W125" s="5"/>
      <c r="X125" s="5"/>
      <c r="Y125" s="5"/>
      <c r="Z125" s="5"/>
    </row>
    <row r="126" ht="15.0" customHeight="1">
      <c r="A126" s="5"/>
      <c r="B126" s="52">
        <v>46090.0</v>
      </c>
      <c r="C126" s="54">
        <v>2.0</v>
      </c>
      <c r="D126" s="54"/>
      <c r="E126" s="54"/>
      <c r="F126" s="54"/>
      <c r="G126" s="54" t="s">
        <v>186</v>
      </c>
      <c r="H126" s="54"/>
      <c r="I126" s="54" t="s">
        <v>236</v>
      </c>
      <c r="J126" s="55">
        <v>1.0E7</v>
      </c>
      <c r="K126" s="54" t="s">
        <v>53</v>
      </c>
      <c r="L126" s="160" t="s">
        <v>212</v>
      </c>
      <c r="M126" s="5"/>
      <c r="N126" s="5"/>
      <c r="O126" s="5"/>
      <c r="P126" s="5"/>
      <c r="Q126" s="5"/>
      <c r="R126" s="5"/>
      <c r="S126" s="5"/>
      <c r="T126" s="5"/>
      <c r="U126" s="5"/>
      <c r="V126" s="5"/>
      <c r="W126" s="5"/>
      <c r="X126" s="5"/>
      <c r="Y126" s="5"/>
      <c r="Z126" s="5"/>
    </row>
    <row r="127" ht="15.0" customHeight="1">
      <c r="A127" s="5"/>
      <c r="B127" s="52">
        <v>46100.0</v>
      </c>
      <c r="C127" s="54">
        <v>2.0</v>
      </c>
      <c r="D127" s="54"/>
      <c r="E127" s="54"/>
      <c r="F127" s="54"/>
      <c r="G127" s="54" t="s">
        <v>186</v>
      </c>
      <c r="H127" s="54"/>
      <c r="I127" s="54" t="s">
        <v>237</v>
      </c>
      <c r="J127" s="55">
        <v>1.0E7</v>
      </c>
      <c r="K127" s="54" t="s">
        <v>53</v>
      </c>
      <c r="L127" s="160" t="s">
        <v>212</v>
      </c>
      <c r="M127" s="5"/>
      <c r="N127" s="5"/>
      <c r="O127" s="5"/>
      <c r="P127" s="5"/>
      <c r="Q127" s="5"/>
      <c r="R127" s="5"/>
      <c r="S127" s="5"/>
      <c r="T127" s="5"/>
      <c r="U127" s="5"/>
      <c r="V127" s="5"/>
      <c r="W127" s="5"/>
      <c r="X127" s="5"/>
      <c r="Y127" s="5"/>
      <c r="Z127" s="5"/>
    </row>
    <row r="128" ht="15.0" customHeight="1">
      <c r="A128" s="5"/>
      <c r="B128" s="52">
        <v>46164.0</v>
      </c>
      <c r="C128" s="54">
        <v>2.0</v>
      </c>
      <c r="D128" s="54"/>
      <c r="E128" s="54"/>
      <c r="F128" s="54"/>
      <c r="G128" s="54" t="s">
        <v>186</v>
      </c>
      <c r="H128" s="54"/>
      <c r="I128" s="54" t="s">
        <v>238</v>
      </c>
      <c r="J128" s="55">
        <v>1.0E7</v>
      </c>
      <c r="K128" s="54" t="s">
        <v>53</v>
      </c>
      <c r="L128" s="160" t="s">
        <v>212</v>
      </c>
      <c r="M128" s="5"/>
      <c r="N128" s="5"/>
      <c r="O128" s="5"/>
      <c r="P128" s="5"/>
      <c r="Q128" s="5"/>
      <c r="R128" s="5"/>
      <c r="S128" s="5"/>
      <c r="T128" s="5"/>
      <c r="U128" s="5"/>
      <c r="V128" s="5"/>
      <c r="W128" s="5"/>
      <c r="X128" s="5"/>
      <c r="Y128" s="5"/>
      <c r="Z128" s="5"/>
    </row>
    <row r="129" ht="15.0" customHeight="1">
      <c r="A129" s="5"/>
      <c r="B129" s="179">
        <v>46249.0</v>
      </c>
      <c r="C129" s="173">
        <v>2.0</v>
      </c>
      <c r="D129" s="63"/>
      <c r="E129" s="63"/>
      <c r="F129" s="63"/>
      <c r="G129" s="63"/>
      <c r="H129" s="63"/>
      <c r="I129" s="63"/>
      <c r="J129" s="65"/>
      <c r="K129" s="63"/>
      <c r="L129" s="161"/>
      <c r="M129" s="5"/>
      <c r="N129" s="5"/>
      <c r="O129" s="5"/>
      <c r="P129" s="5"/>
      <c r="Q129" s="5"/>
      <c r="R129" s="5"/>
      <c r="S129" s="5"/>
      <c r="T129" s="5"/>
      <c r="U129" s="5"/>
      <c r="V129" s="5"/>
      <c r="W129" s="5"/>
      <c r="X129" s="5"/>
      <c r="Y129" s="5"/>
      <c r="Z129" s="5"/>
    </row>
    <row r="130" ht="15.0" customHeight="1">
      <c r="A130" s="5"/>
      <c r="B130" s="59"/>
      <c r="C130" s="63"/>
      <c r="D130" s="63"/>
      <c r="E130" s="63"/>
      <c r="F130" s="63"/>
      <c r="G130" s="63"/>
      <c r="H130" s="63"/>
      <c r="I130" s="63"/>
      <c r="J130" s="65"/>
      <c r="K130" s="63"/>
      <c r="L130" s="161"/>
      <c r="M130" s="5"/>
      <c r="N130" s="5"/>
      <c r="O130" s="5"/>
      <c r="P130" s="5"/>
      <c r="Q130" s="5"/>
      <c r="R130" s="5"/>
      <c r="S130" s="5"/>
      <c r="T130" s="5"/>
      <c r="U130" s="5"/>
      <c r="V130" s="5"/>
      <c r="W130" s="5"/>
      <c r="X130" s="5"/>
      <c r="Y130" s="5"/>
      <c r="Z130" s="5"/>
    </row>
    <row r="131" ht="15.0" customHeight="1">
      <c r="A131" s="5"/>
      <c r="B131" s="59"/>
      <c r="C131" s="63"/>
      <c r="D131" s="63"/>
      <c r="E131" s="63"/>
      <c r="F131" s="63"/>
      <c r="G131" s="63"/>
      <c r="H131" s="63"/>
      <c r="I131" s="63"/>
      <c r="J131" s="65"/>
      <c r="K131" s="63"/>
      <c r="L131" s="161"/>
      <c r="M131" s="5"/>
      <c r="N131" s="5"/>
      <c r="O131" s="5"/>
      <c r="P131" s="5"/>
      <c r="Q131" s="5"/>
      <c r="R131" s="5"/>
      <c r="S131" s="5"/>
      <c r="T131" s="5"/>
      <c r="U131" s="5"/>
      <c r="V131" s="5"/>
      <c r="W131" s="5"/>
      <c r="X131" s="5"/>
      <c r="Y131" s="5"/>
      <c r="Z131" s="5"/>
    </row>
    <row r="132" ht="15.0" customHeight="1">
      <c r="A132" s="5"/>
      <c r="B132" s="59"/>
      <c r="C132" s="63"/>
      <c r="D132" s="63"/>
      <c r="E132" s="63"/>
      <c r="F132" s="63"/>
      <c r="G132" s="63"/>
      <c r="H132" s="63"/>
      <c r="I132" s="63"/>
      <c r="J132" s="65"/>
      <c r="K132" s="63"/>
      <c r="L132" s="161"/>
      <c r="M132" s="5"/>
      <c r="N132" s="5"/>
      <c r="O132" s="5"/>
      <c r="P132" s="5"/>
      <c r="Q132" s="5"/>
      <c r="R132" s="5"/>
      <c r="S132" s="5"/>
      <c r="T132" s="5"/>
      <c r="U132" s="5"/>
      <c r="V132" s="5"/>
      <c r="W132" s="5"/>
      <c r="X132" s="5"/>
      <c r="Y132" s="5"/>
      <c r="Z132" s="5"/>
    </row>
    <row r="133" ht="15.0" customHeight="1">
      <c r="A133" s="5"/>
      <c r="B133" s="59"/>
      <c r="C133" s="63"/>
      <c r="D133" s="63"/>
      <c r="E133" s="63"/>
      <c r="F133" s="63"/>
      <c r="G133" s="63"/>
      <c r="H133" s="63"/>
      <c r="I133" s="63"/>
      <c r="J133" s="65"/>
      <c r="K133" s="63"/>
      <c r="L133" s="161"/>
      <c r="M133" s="5"/>
      <c r="N133" s="5"/>
      <c r="O133" s="5"/>
      <c r="P133" s="5"/>
      <c r="Q133" s="5"/>
      <c r="R133" s="5"/>
      <c r="S133" s="5"/>
      <c r="T133" s="5"/>
      <c r="U133" s="5"/>
      <c r="V133" s="5"/>
      <c r="W133" s="5"/>
      <c r="X133" s="5"/>
      <c r="Y133" s="5"/>
      <c r="Z133" s="5"/>
    </row>
    <row r="134" ht="15.0" customHeight="1">
      <c r="A134" s="5"/>
      <c r="B134" s="59"/>
      <c r="C134" s="63"/>
      <c r="D134" s="63"/>
      <c r="E134" s="63"/>
      <c r="F134" s="63"/>
      <c r="G134" s="63"/>
      <c r="H134" s="63"/>
      <c r="I134" s="63"/>
      <c r="J134" s="65"/>
      <c r="K134" s="63"/>
      <c r="L134" s="161"/>
      <c r="M134" s="5"/>
      <c r="N134" s="5"/>
      <c r="O134" s="5"/>
      <c r="P134" s="5"/>
      <c r="Q134" s="5"/>
      <c r="R134" s="5"/>
      <c r="S134" s="5"/>
      <c r="T134" s="5"/>
      <c r="U134" s="5"/>
      <c r="V134" s="5"/>
      <c r="W134" s="5"/>
      <c r="X134" s="5"/>
      <c r="Y134" s="5"/>
      <c r="Z134" s="5"/>
    </row>
    <row r="135" ht="15.0" customHeight="1">
      <c r="A135" s="5"/>
      <c r="B135" s="59"/>
      <c r="C135" s="63"/>
      <c r="D135" s="63"/>
      <c r="E135" s="63"/>
      <c r="F135" s="63"/>
      <c r="G135" s="63"/>
      <c r="H135" s="63"/>
      <c r="I135" s="63"/>
      <c r="J135" s="65"/>
      <c r="K135" s="63"/>
      <c r="L135" s="161"/>
      <c r="M135" s="5"/>
      <c r="N135" s="5"/>
      <c r="O135" s="5"/>
      <c r="P135" s="5"/>
      <c r="Q135" s="5"/>
      <c r="R135" s="5"/>
      <c r="S135" s="5"/>
      <c r="T135" s="5"/>
      <c r="U135" s="5"/>
      <c r="V135" s="5"/>
      <c r="W135" s="5"/>
      <c r="X135" s="5"/>
      <c r="Y135" s="5"/>
      <c r="Z135" s="5"/>
    </row>
    <row r="136" ht="15.0" customHeight="1">
      <c r="A136" s="5"/>
      <c r="B136" s="59"/>
      <c r="C136" s="63"/>
      <c r="D136" s="63"/>
      <c r="E136" s="63"/>
      <c r="F136" s="63"/>
      <c r="G136" s="63"/>
      <c r="H136" s="63"/>
      <c r="I136" s="63"/>
      <c r="J136" s="65"/>
      <c r="K136" s="63"/>
      <c r="L136" s="161"/>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9.5" customHeight="1">
      <c r="A138" s="5"/>
      <c r="B138" s="159" t="str">
        <f>"③  " &amp; "63F 005.28" &amp; "   —   " &amp; SUMPRODUCT((ISNUMBER($B$140:$B$155))*N($C$140:$C$155)) &amp; " vỏ · " &amp; TEXT(SUM($J$140:$J$155),"#,##0") &amp; "đ" &amp; IF(SUMIF($K$140:$K$155,"Chưa thanh toán",$J$140:$J$155)&gt;0," · còn nợ "&amp;TEXT(SUMIF($K$140:$K$155,"Chưa thanh toán",$J$140:$J$155),"#,##0")&amp;"đ","")</f>
        <v>③  63F 005.28   —   16 vỏ · 74.100.000đ</v>
      </c>
      <c r="C138" s="2"/>
      <c r="D138" s="2"/>
      <c r="E138" s="2"/>
      <c r="F138" s="2"/>
      <c r="G138" s="2"/>
      <c r="H138" s="2"/>
      <c r="I138" s="2"/>
      <c r="J138" s="2"/>
      <c r="K138" s="2"/>
      <c r="L138" s="4"/>
      <c r="M138" s="5"/>
      <c r="N138" s="5"/>
      <c r="O138" s="5"/>
      <c r="P138" s="5"/>
      <c r="Q138" s="5"/>
      <c r="R138" s="5"/>
      <c r="S138" s="5"/>
      <c r="T138" s="5"/>
      <c r="U138" s="5"/>
      <c r="V138" s="5"/>
      <c r="W138" s="5"/>
      <c r="X138" s="5"/>
      <c r="Y138" s="5"/>
      <c r="Z138" s="5"/>
    </row>
    <row r="139" ht="25.5" customHeight="1">
      <c r="A139" s="5"/>
      <c r="B139" s="70" t="s">
        <v>127</v>
      </c>
      <c r="C139" s="70" t="s">
        <v>177</v>
      </c>
      <c r="D139" s="70" t="s">
        <v>178</v>
      </c>
      <c r="E139" s="70" t="s">
        <v>179</v>
      </c>
      <c r="F139" s="70" t="s">
        <v>180</v>
      </c>
      <c r="G139" s="70" t="s">
        <v>181</v>
      </c>
      <c r="H139" s="70" t="s">
        <v>182</v>
      </c>
      <c r="I139" s="70" t="s">
        <v>48</v>
      </c>
      <c r="J139" s="70" t="s">
        <v>49</v>
      </c>
      <c r="K139" s="70" t="s">
        <v>50</v>
      </c>
      <c r="L139" s="70" t="s">
        <v>19</v>
      </c>
      <c r="M139" s="5"/>
      <c r="N139" s="5"/>
      <c r="O139" s="5"/>
      <c r="P139" s="5"/>
      <c r="Q139" s="5"/>
      <c r="R139" s="5"/>
      <c r="S139" s="5"/>
      <c r="T139" s="5"/>
      <c r="U139" s="5"/>
      <c r="V139" s="5"/>
      <c r="W139" s="5"/>
      <c r="X139" s="5"/>
      <c r="Y139" s="5"/>
      <c r="Z139" s="5"/>
    </row>
    <row r="140" ht="15.0" customHeight="1">
      <c r="A140" s="5"/>
      <c r="B140" s="52">
        <v>46048.0</v>
      </c>
      <c r="C140" s="54">
        <v>2.0</v>
      </c>
      <c r="D140" s="54"/>
      <c r="E140" s="54"/>
      <c r="F140" s="54"/>
      <c r="G140" s="54" t="s">
        <v>193</v>
      </c>
      <c r="H140" s="54"/>
      <c r="I140" s="54"/>
      <c r="J140" s="55">
        <v>8600000.0</v>
      </c>
      <c r="K140" s="54" t="s">
        <v>53</v>
      </c>
      <c r="L140" s="160" t="s">
        <v>239</v>
      </c>
      <c r="M140" s="5"/>
      <c r="N140" s="5"/>
      <c r="O140" s="5"/>
      <c r="P140" s="5"/>
      <c r="Q140" s="5"/>
      <c r="R140" s="5"/>
      <c r="S140" s="5"/>
      <c r="T140" s="5"/>
      <c r="U140" s="5"/>
      <c r="V140" s="5"/>
      <c r="W140" s="5"/>
      <c r="X140" s="5"/>
      <c r="Y140" s="5"/>
      <c r="Z140" s="5"/>
    </row>
    <row r="141" ht="15.0" customHeight="1">
      <c r="A141" s="5"/>
      <c r="B141" s="52">
        <v>46098.0</v>
      </c>
      <c r="C141" s="54">
        <v>2.0</v>
      </c>
      <c r="D141" s="54"/>
      <c r="E141" s="54" t="s">
        <v>202</v>
      </c>
      <c r="F141" s="54"/>
      <c r="G141" s="54" t="s">
        <v>188</v>
      </c>
      <c r="H141" s="54"/>
      <c r="I141" s="54"/>
      <c r="J141" s="55">
        <v>8400000.0</v>
      </c>
      <c r="K141" s="54" t="s">
        <v>53</v>
      </c>
      <c r="L141" s="160" t="s">
        <v>240</v>
      </c>
      <c r="M141" s="5"/>
      <c r="N141" s="5"/>
      <c r="O141" s="5"/>
      <c r="P141" s="5"/>
      <c r="Q141" s="5"/>
      <c r="R141" s="5"/>
      <c r="S141" s="5"/>
      <c r="T141" s="5"/>
      <c r="U141" s="5"/>
      <c r="V141" s="5"/>
      <c r="W141" s="5"/>
      <c r="X141" s="5"/>
      <c r="Y141" s="5"/>
      <c r="Z141" s="5"/>
    </row>
    <row r="142" ht="15.0" customHeight="1">
      <c r="A142" s="5"/>
      <c r="B142" s="52">
        <v>46106.0</v>
      </c>
      <c r="C142" s="54">
        <v>2.0</v>
      </c>
      <c r="D142" s="54"/>
      <c r="E142" s="54"/>
      <c r="F142" s="54"/>
      <c r="G142" s="54" t="s">
        <v>186</v>
      </c>
      <c r="H142" s="54"/>
      <c r="I142" s="54" t="s">
        <v>241</v>
      </c>
      <c r="J142" s="55">
        <v>1.0E7</v>
      </c>
      <c r="K142" s="54" t="s">
        <v>53</v>
      </c>
      <c r="L142" s="160" t="s">
        <v>242</v>
      </c>
      <c r="M142" s="5"/>
      <c r="N142" s="5"/>
      <c r="O142" s="5"/>
      <c r="P142" s="5"/>
      <c r="Q142" s="5"/>
      <c r="R142" s="5"/>
      <c r="S142" s="5"/>
      <c r="T142" s="5"/>
      <c r="U142" s="5"/>
      <c r="V142" s="5"/>
      <c r="W142" s="5"/>
      <c r="X142" s="5"/>
      <c r="Y142" s="5"/>
      <c r="Z142" s="5"/>
    </row>
    <row r="143" ht="15.0" customHeight="1">
      <c r="A143" s="5"/>
      <c r="B143" s="52">
        <v>46169.0</v>
      </c>
      <c r="C143" s="54">
        <v>2.0</v>
      </c>
      <c r="D143" s="54"/>
      <c r="E143" s="54"/>
      <c r="F143" s="54"/>
      <c r="G143" s="54" t="s">
        <v>186</v>
      </c>
      <c r="H143" s="54"/>
      <c r="I143" s="54" t="s">
        <v>243</v>
      </c>
      <c r="J143" s="55">
        <v>1.0E7</v>
      </c>
      <c r="K143" s="54" t="s">
        <v>53</v>
      </c>
      <c r="L143" s="160" t="s">
        <v>244</v>
      </c>
      <c r="M143" s="5"/>
      <c r="N143" s="5"/>
      <c r="O143" s="5"/>
      <c r="P143" s="5"/>
      <c r="Q143" s="5"/>
      <c r="R143" s="5"/>
      <c r="S143" s="5"/>
      <c r="T143" s="5"/>
      <c r="U143" s="5"/>
      <c r="V143" s="5"/>
      <c r="W143" s="5"/>
      <c r="X143" s="5"/>
      <c r="Y143" s="5"/>
      <c r="Z143" s="5"/>
    </row>
    <row r="144" ht="15.0" customHeight="1">
      <c r="A144" s="5"/>
      <c r="B144" s="52">
        <v>46175.0</v>
      </c>
      <c r="C144" s="54">
        <v>2.0</v>
      </c>
      <c r="D144" s="54"/>
      <c r="E144" s="54"/>
      <c r="F144" s="54"/>
      <c r="G144" s="54" t="s">
        <v>186</v>
      </c>
      <c r="H144" s="54"/>
      <c r="I144" s="54"/>
      <c r="J144" s="55">
        <v>1.0E7</v>
      </c>
      <c r="K144" s="54" t="s">
        <v>53</v>
      </c>
      <c r="L144" s="160" t="s">
        <v>244</v>
      </c>
      <c r="M144" s="5"/>
      <c r="N144" s="5"/>
      <c r="O144" s="5"/>
      <c r="P144" s="5"/>
      <c r="Q144" s="5"/>
      <c r="R144" s="5"/>
      <c r="S144" s="5"/>
      <c r="T144" s="5"/>
      <c r="U144" s="5"/>
      <c r="V144" s="5"/>
      <c r="W144" s="5"/>
      <c r="X144" s="5"/>
      <c r="Y144" s="5"/>
      <c r="Z144" s="5"/>
    </row>
    <row r="145" ht="15.0" customHeight="1">
      <c r="A145" s="5"/>
      <c r="B145" s="52">
        <v>46204.0</v>
      </c>
      <c r="C145" s="54">
        <v>2.0</v>
      </c>
      <c r="D145" s="54"/>
      <c r="E145" s="54"/>
      <c r="F145" s="54"/>
      <c r="G145" s="54" t="s">
        <v>193</v>
      </c>
      <c r="H145" s="54"/>
      <c r="I145" s="54"/>
      <c r="J145" s="55">
        <v>8600000.0</v>
      </c>
      <c r="K145" s="54" t="s">
        <v>53</v>
      </c>
      <c r="L145" s="160" t="s">
        <v>245</v>
      </c>
      <c r="M145" s="5"/>
      <c r="N145" s="5"/>
      <c r="O145" s="5"/>
      <c r="P145" s="5"/>
      <c r="Q145" s="5"/>
      <c r="R145" s="5"/>
      <c r="S145" s="5"/>
      <c r="T145" s="5"/>
      <c r="U145" s="5"/>
      <c r="V145" s="5"/>
      <c r="W145" s="5"/>
      <c r="X145" s="5"/>
      <c r="Y145" s="5"/>
      <c r="Z145" s="5"/>
    </row>
    <row r="146" ht="15.0" customHeight="1">
      <c r="A146" s="5"/>
      <c r="B146" s="52">
        <v>46207.0</v>
      </c>
      <c r="C146" s="54">
        <v>2.0</v>
      </c>
      <c r="D146" s="54"/>
      <c r="E146" s="54" t="s">
        <v>202</v>
      </c>
      <c r="F146" s="54"/>
      <c r="G146" s="54" t="s">
        <v>188</v>
      </c>
      <c r="H146" s="54"/>
      <c r="I146" s="54"/>
      <c r="J146" s="55">
        <v>8800000.0</v>
      </c>
      <c r="K146" s="54" t="s">
        <v>53</v>
      </c>
      <c r="L146" s="160" t="s">
        <v>246</v>
      </c>
      <c r="M146" s="5"/>
      <c r="N146" s="5"/>
      <c r="O146" s="5"/>
      <c r="P146" s="5"/>
      <c r="Q146" s="5"/>
      <c r="R146" s="5"/>
      <c r="S146" s="5"/>
      <c r="T146" s="5"/>
      <c r="U146" s="5"/>
      <c r="V146" s="5"/>
      <c r="W146" s="5"/>
      <c r="X146" s="5"/>
      <c r="Y146" s="5"/>
      <c r="Z146" s="5"/>
    </row>
    <row r="147" ht="15.0" customHeight="1">
      <c r="A147" s="5"/>
      <c r="B147" s="167">
        <v>46214.0</v>
      </c>
      <c r="C147" s="54">
        <v>2.0</v>
      </c>
      <c r="D147" s="54"/>
      <c r="E147" s="54"/>
      <c r="F147" s="54"/>
      <c r="G147" s="54" t="s">
        <v>198</v>
      </c>
      <c r="H147" s="54"/>
      <c r="I147" s="54" t="s">
        <v>247</v>
      </c>
      <c r="J147" s="55">
        <v>9700000.0</v>
      </c>
      <c r="K147" s="54" t="s">
        <v>53</v>
      </c>
      <c r="L147" s="160" t="s">
        <v>248</v>
      </c>
      <c r="M147" s="5"/>
      <c r="N147" s="5"/>
      <c r="O147" s="5"/>
      <c r="P147" s="5"/>
      <c r="Q147" s="5"/>
      <c r="R147" s="5"/>
      <c r="S147" s="5"/>
      <c r="T147" s="5"/>
      <c r="U147" s="5"/>
      <c r="V147" s="5"/>
      <c r="W147" s="5"/>
      <c r="X147" s="5"/>
      <c r="Y147" s="5"/>
      <c r="Z147" s="5"/>
    </row>
    <row r="148" ht="15.0" customHeight="1">
      <c r="A148" s="5"/>
      <c r="B148" s="72"/>
      <c r="C148" s="74"/>
      <c r="D148" s="74"/>
      <c r="E148" s="74"/>
      <c r="F148" s="74"/>
      <c r="G148" s="74"/>
      <c r="H148" s="74"/>
      <c r="I148" s="74"/>
      <c r="J148" s="76"/>
      <c r="K148" s="74"/>
      <c r="L148" s="166"/>
      <c r="M148" s="5"/>
      <c r="N148" s="5"/>
      <c r="O148" s="5"/>
      <c r="P148" s="5"/>
      <c r="Q148" s="5"/>
      <c r="R148" s="5"/>
      <c r="S148" s="5"/>
      <c r="T148" s="5"/>
      <c r="U148" s="5"/>
      <c r="V148" s="5"/>
      <c r="W148" s="5"/>
      <c r="X148" s="5"/>
      <c r="Y148" s="5"/>
      <c r="Z148" s="5"/>
    </row>
    <row r="149" ht="15.0" customHeight="1">
      <c r="A149" s="5"/>
      <c r="B149" s="72"/>
      <c r="C149" s="74"/>
      <c r="D149" s="74"/>
      <c r="E149" s="74"/>
      <c r="F149" s="74"/>
      <c r="G149" s="74"/>
      <c r="H149" s="74"/>
      <c r="I149" s="74"/>
      <c r="J149" s="76"/>
      <c r="K149" s="74"/>
      <c r="L149" s="166"/>
      <c r="M149" s="5"/>
      <c r="N149" s="5"/>
      <c r="O149" s="5"/>
      <c r="P149" s="5"/>
      <c r="Q149" s="5"/>
      <c r="R149" s="5"/>
      <c r="S149" s="5"/>
      <c r="T149" s="5"/>
      <c r="U149" s="5"/>
      <c r="V149" s="5"/>
      <c r="W149" s="5"/>
      <c r="X149" s="5"/>
      <c r="Y149" s="5"/>
      <c r="Z149" s="5"/>
    </row>
    <row r="150" ht="15.0" customHeight="1">
      <c r="A150" s="5"/>
      <c r="B150" s="72"/>
      <c r="C150" s="74"/>
      <c r="D150" s="74"/>
      <c r="E150" s="74"/>
      <c r="F150" s="74"/>
      <c r="G150" s="74"/>
      <c r="H150" s="74"/>
      <c r="I150" s="74"/>
      <c r="J150" s="76"/>
      <c r="K150" s="74"/>
      <c r="L150" s="166"/>
      <c r="M150" s="5"/>
      <c r="N150" s="5"/>
      <c r="O150" s="5"/>
      <c r="P150" s="5"/>
      <c r="Q150" s="5"/>
      <c r="R150" s="5"/>
      <c r="S150" s="5"/>
      <c r="T150" s="5"/>
      <c r="U150" s="5"/>
      <c r="V150" s="5"/>
      <c r="W150" s="5"/>
      <c r="X150" s="5"/>
      <c r="Y150" s="5"/>
      <c r="Z150" s="5"/>
    </row>
    <row r="151" ht="15.0" customHeight="1">
      <c r="A151" s="5"/>
      <c r="B151" s="72"/>
      <c r="C151" s="74"/>
      <c r="D151" s="74"/>
      <c r="E151" s="74"/>
      <c r="F151" s="74"/>
      <c r="G151" s="74"/>
      <c r="H151" s="74"/>
      <c r="I151" s="74"/>
      <c r="J151" s="76"/>
      <c r="K151" s="74"/>
      <c r="L151" s="166"/>
      <c r="M151" s="5"/>
      <c r="N151" s="5"/>
      <c r="O151" s="5"/>
      <c r="P151" s="5"/>
      <c r="Q151" s="5"/>
      <c r="R151" s="5"/>
      <c r="S151" s="5"/>
      <c r="T151" s="5"/>
      <c r="U151" s="5"/>
      <c r="V151" s="5"/>
      <c r="W151" s="5"/>
      <c r="X151" s="5"/>
      <c r="Y151" s="5"/>
      <c r="Z151" s="5"/>
    </row>
    <row r="152" ht="15.0" customHeight="1">
      <c r="A152" s="5"/>
      <c r="B152" s="72"/>
      <c r="C152" s="74"/>
      <c r="D152" s="74"/>
      <c r="E152" s="74"/>
      <c r="F152" s="74"/>
      <c r="G152" s="74"/>
      <c r="H152" s="74"/>
      <c r="I152" s="74"/>
      <c r="J152" s="76"/>
      <c r="K152" s="74"/>
      <c r="L152" s="166"/>
      <c r="M152" s="5"/>
      <c r="N152" s="5"/>
      <c r="O152" s="5"/>
      <c r="P152" s="5"/>
      <c r="Q152" s="5"/>
      <c r="R152" s="5"/>
      <c r="S152" s="5"/>
      <c r="T152" s="5"/>
      <c r="U152" s="5"/>
      <c r="V152" s="5"/>
      <c r="W152" s="5"/>
      <c r="X152" s="5"/>
      <c r="Y152" s="5"/>
      <c r="Z152" s="5"/>
    </row>
    <row r="153" ht="15.0" customHeight="1">
      <c r="A153" s="5"/>
      <c r="B153" s="72"/>
      <c r="C153" s="74"/>
      <c r="D153" s="74"/>
      <c r="E153" s="74"/>
      <c r="F153" s="74"/>
      <c r="G153" s="74"/>
      <c r="H153" s="74"/>
      <c r="I153" s="74"/>
      <c r="J153" s="76"/>
      <c r="K153" s="74"/>
      <c r="L153" s="166"/>
      <c r="M153" s="5"/>
      <c r="N153" s="5"/>
      <c r="O153" s="5"/>
      <c r="P153" s="5"/>
      <c r="Q153" s="5"/>
      <c r="R153" s="5"/>
      <c r="S153" s="5"/>
      <c r="T153" s="5"/>
      <c r="U153" s="5"/>
      <c r="V153" s="5"/>
      <c r="W153" s="5"/>
      <c r="X153" s="5"/>
      <c r="Y153" s="5"/>
      <c r="Z153" s="5"/>
    </row>
    <row r="154" ht="15.0" customHeight="1">
      <c r="A154" s="5"/>
      <c r="B154" s="72"/>
      <c r="C154" s="74"/>
      <c r="D154" s="74"/>
      <c r="E154" s="74"/>
      <c r="F154" s="74"/>
      <c r="G154" s="74"/>
      <c r="H154" s="74"/>
      <c r="I154" s="74"/>
      <c r="J154" s="76"/>
      <c r="K154" s="74"/>
      <c r="L154" s="166"/>
      <c r="M154" s="5"/>
      <c r="N154" s="5"/>
      <c r="O154" s="5"/>
      <c r="P154" s="5"/>
      <c r="Q154" s="5"/>
      <c r="R154" s="5"/>
      <c r="S154" s="5"/>
      <c r="T154" s="5"/>
      <c r="U154" s="5"/>
      <c r="V154" s="5"/>
      <c r="W154" s="5"/>
      <c r="X154" s="5"/>
      <c r="Y154" s="5"/>
      <c r="Z154" s="5"/>
    </row>
    <row r="155" ht="15.0" customHeight="1">
      <c r="A155" s="5"/>
      <c r="B155" s="72"/>
      <c r="C155" s="74"/>
      <c r="D155" s="74"/>
      <c r="E155" s="74"/>
      <c r="F155" s="74"/>
      <c r="G155" s="74"/>
      <c r="H155" s="74"/>
      <c r="I155" s="74"/>
      <c r="J155" s="76"/>
      <c r="K155" s="74"/>
      <c r="L155" s="166"/>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9.5" customHeight="1">
      <c r="A157" s="5"/>
      <c r="B157" s="159" t="str">
        <f>"③  " &amp; "63G 00262" &amp; "   —   " &amp; SUMPRODUCT((ISNUMBER($B$159:$B$170))*N($C$159:$C$170)) &amp; " vỏ · " &amp; TEXT(SUM($J$159:$J$170),"#,##0") &amp; "đ" &amp; IF(SUMIF($K$159:$K$170,"Chưa thanh toán",$J$159:$J$170)&gt;0," · còn nợ "&amp;TEXT(SUMIF($K$159:$K$170,"Chưa thanh toán",$J$159:$J$170),"#,##0")&amp;"đ","")</f>
        <v>③  63G 00262   —   18 vỏ · 86.440.000đ</v>
      </c>
      <c r="C157" s="2"/>
      <c r="D157" s="2"/>
      <c r="E157" s="2"/>
      <c r="F157" s="2"/>
      <c r="G157" s="2"/>
      <c r="H157" s="2"/>
      <c r="I157" s="2"/>
      <c r="J157" s="2"/>
      <c r="K157" s="2"/>
      <c r="L157" s="4"/>
      <c r="M157" s="5"/>
      <c r="N157" s="5"/>
      <c r="O157" s="5"/>
      <c r="P157" s="5"/>
      <c r="Q157" s="5"/>
      <c r="R157" s="5"/>
      <c r="S157" s="5"/>
      <c r="T157" s="5"/>
      <c r="U157" s="5"/>
      <c r="V157" s="5"/>
      <c r="W157" s="5"/>
      <c r="X157" s="5"/>
      <c r="Y157" s="5"/>
      <c r="Z157" s="5"/>
    </row>
    <row r="158" ht="25.5" customHeight="1">
      <c r="A158" s="5"/>
      <c r="B158" s="40" t="s">
        <v>127</v>
      </c>
      <c r="C158" s="40" t="s">
        <v>177</v>
      </c>
      <c r="D158" s="40" t="s">
        <v>178</v>
      </c>
      <c r="E158" s="40" t="s">
        <v>179</v>
      </c>
      <c r="F158" s="40" t="s">
        <v>180</v>
      </c>
      <c r="G158" s="40" t="s">
        <v>181</v>
      </c>
      <c r="H158" s="40" t="s">
        <v>182</v>
      </c>
      <c r="I158" s="40" t="s">
        <v>48</v>
      </c>
      <c r="J158" s="40" t="s">
        <v>49</v>
      </c>
      <c r="K158" s="40" t="s">
        <v>50</v>
      </c>
      <c r="L158" s="40" t="s">
        <v>19</v>
      </c>
      <c r="M158" s="5"/>
      <c r="N158" s="5"/>
      <c r="O158" s="5"/>
      <c r="P158" s="5"/>
      <c r="Q158" s="5"/>
      <c r="R158" s="5"/>
      <c r="S158" s="5"/>
      <c r="T158" s="5"/>
      <c r="U158" s="5"/>
      <c r="V158" s="5"/>
      <c r="W158" s="5"/>
      <c r="X158" s="5"/>
      <c r="Y158" s="5"/>
      <c r="Z158" s="5"/>
    </row>
    <row r="159" ht="15.0" customHeight="1">
      <c r="A159" s="5"/>
      <c r="B159" s="52">
        <v>46080.0</v>
      </c>
      <c r="C159" s="54">
        <v>4.0</v>
      </c>
      <c r="D159" s="54"/>
      <c r="E159" s="54" t="s">
        <v>202</v>
      </c>
      <c r="F159" s="54"/>
      <c r="G159" s="54" t="s">
        <v>188</v>
      </c>
      <c r="H159" s="54"/>
      <c r="I159" s="54"/>
      <c r="J159" s="55">
        <v>1.68E7</v>
      </c>
      <c r="K159" s="54" t="s">
        <v>53</v>
      </c>
      <c r="L159" s="160" t="s">
        <v>249</v>
      </c>
      <c r="M159" s="5"/>
      <c r="N159" s="5"/>
      <c r="O159" s="5"/>
      <c r="P159" s="5"/>
      <c r="Q159" s="5"/>
      <c r="R159" s="5"/>
      <c r="S159" s="5"/>
      <c r="T159" s="5"/>
      <c r="U159" s="5"/>
      <c r="V159" s="5"/>
      <c r="W159" s="5"/>
      <c r="X159" s="5"/>
      <c r="Y159" s="5"/>
      <c r="Z159" s="5"/>
    </row>
    <row r="160" ht="15.0" customHeight="1">
      <c r="A160" s="5"/>
      <c r="B160" s="52">
        <v>46090.0</v>
      </c>
      <c r="C160" s="54">
        <v>4.0</v>
      </c>
      <c r="D160" s="54"/>
      <c r="E160" s="54"/>
      <c r="F160" s="54"/>
      <c r="G160" s="54" t="s">
        <v>186</v>
      </c>
      <c r="H160" s="54"/>
      <c r="I160" s="54" t="s">
        <v>250</v>
      </c>
      <c r="J160" s="55">
        <v>1.74E7</v>
      </c>
      <c r="K160" s="54" t="s">
        <v>53</v>
      </c>
      <c r="L160" s="160" t="s">
        <v>251</v>
      </c>
      <c r="M160" s="5"/>
      <c r="N160" s="5"/>
      <c r="O160" s="5"/>
      <c r="P160" s="5"/>
      <c r="Q160" s="5"/>
      <c r="R160" s="5"/>
      <c r="S160" s="5"/>
      <c r="T160" s="5"/>
      <c r="U160" s="5"/>
      <c r="V160" s="5"/>
      <c r="W160" s="5"/>
      <c r="X160" s="5"/>
      <c r="Y160" s="5"/>
      <c r="Z160" s="5"/>
    </row>
    <row r="161" ht="15.0" customHeight="1">
      <c r="A161" s="5"/>
      <c r="B161" s="52">
        <v>46097.0</v>
      </c>
      <c r="C161" s="54">
        <v>2.0</v>
      </c>
      <c r="D161" s="54"/>
      <c r="E161" s="54"/>
      <c r="F161" s="54"/>
      <c r="G161" s="54" t="s">
        <v>198</v>
      </c>
      <c r="H161" s="54"/>
      <c r="I161" s="54"/>
      <c r="J161" s="55">
        <v>9600000.0</v>
      </c>
      <c r="K161" s="54" t="s">
        <v>53</v>
      </c>
      <c r="L161" s="160" t="s">
        <v>230</v>
      </c>
      <c r="M161" s="5"/>
      <c r="N161" s="5"/>
      <c r="O161" s="5"/>
      <c r="P161" s="5"/>
      <c r="Q161" s="5"/>
      <c r="R161" s="5"/>
      <c r="S161" s="5"/>
      <c r="T161" s="5"/>
      <c r="U161" s="5"/>
      <c r="V161" s="5"/>
      <c r="W161" s="5"/>
      <c r="X161" s="5"/>
      <c r="Y161" s="5"/>
      <c r="Z161" s="5"/>
    </row>
    <row r="162" ht="15.0" customHeight="1">
      <c r="A162" s="5"/>
      <c r="B162" s="52">
        <v>46135.0</v>
      </c>
      <c r="C162" s="54">
        <v>4.0</v>
      </c>
      <c r="D162" s="54"/>
      <c r="E162" s="54"/>
      <c r="F162" s="54"/>
      <c r="G162" s="54" t="s">
        <v>198</v>
      </c>
      <c r="H162" s="54"/>
      <c r="I162" s="54" t="s">
        <v>252</v>
      </c>
      <c r="J162" s="55">
        <v>1.92E7</v>
      </c>
      <c r="K162" s="54" t="s">
        <v>53</v>
      </c>
      <c r="L162" s="160" t="s">
        <v>230</v>
      </c>
      <c r="M162" s="5"/>
      <c r="N162" s="5"/>
      <c r="O162" s="5"/>
      <c r="P162" s="5"/>
      <c r="Q162" s="5"/>
      <c r="R162" s="5"/>
      <c r="S162" s="5"/>
      <c r="T162" s="5"/>
      <c r="U162" s="5"/>
      <c r="V162" s="5"/>
      <c r="W162" s="5"/>
      <c r="X162" s="5"/>
      <c r="Y162" s="5"/>
      <c r="Z162" s="5"/>
    </row>
    <row r="163" ht="15.0" customHeight="1">
      <c r="A163" s="5"/>
      <c r="B163" s="180">
        <v>46250.0</v>
      </c>
      <c r="C163" s="173">
        <v>4.0</v>
      </c>
      <c r="D163" s="63"/>
      <c r="E163" s="63"/>
      <c r="F163" s="63"/>
      <c r="G163" s="173" t="s">
        <v>253</v>
      </c>
      <c r="H163" s="63"/>
      <c r="I163" s="173">
        <v>117.0</v>
      </c>
      <c r="J163" s="181">
        <v>2.344E7</v>
      </c>
      <c r="K163" s="173" t="s">
        <v>53</v>
      </c>
      <c r="L163" s="174" t="s">
        <v>254</v>
      </c>
      <c r="M163" s="5"/>
      <c r="N163" s="5"/>
      <c r="O163" s="5"/>
      <c r="P163" s="5"/>
      <c r="Q163" s="5"/>
      <c r="R163" s="5"/>
      <c r="S163" s="5"/>
      <c r="T163" s="5"/>
      <c r="U163" s="5"/>
      <c r="V163" s="5"/>
      <c r="W163" s="5"/>
      <c r="X163" s="5"/>
      <c r="Y163" s="5"/>
      <c r="Z163" s="5"/>
    </row>
    <row r="164" ht="15.0" customHeight="1">
      <c r="A164" s="5"/>
      <c r="B164" s="59"/>
      <c r="C164" s="63"/>
      <c r="D164" s="63"/>
      <c r="E164" s="63"/>
      <c r="F164" s="63"/>
      <c r="G164" s="63"/>
      <c r="H164" s="63"/>
      <c r="I164" s="63"/>
      <c r="J164" s="65"/>
      <c r="K164" s="63"/>
      <c r="L164" s="161"/>
      <c r="M164" s="5"/>
      <c r="N164" s="5"/>
      <c r="O164" s="5"/>
      <c r="P164" s="5"/>
      <c r="Q164" s="5"/>
      <c r="R164" s="5"/>
      <c r="S164" s="5"/>
      <c r="T164" s="5"/>
      <c r="U164" s="5"/>
      <c r="V164" s="5"/>
      <c r="W164" s="5"/>
      <c r="X164" s="5"/>
      <c r="Y164" s="5"/>
      <c r="Z164" s="5"/>
    </row>
    <row r="165" ht="15.0" customHeight="1">
      <c r="A165" s="5"/>
      <c r="B165" s="59"/>
      <c r="C165" s="63"/>
      <c r="D165" s="63"/>
      <c r="E165" s="63"/>
      <c r="F165" s="63"/>
      <c r="G165" s="63"/>
      <c r="H165" s="63"/>
      <c r="I165" s="63"/>
      <c r="J165" s="65"/>
      <c r="K165" s="63"/>
      <c r="L165" s="161"/>
      <c r="M165" s="5"/>
      <c r="N165" s="5"/>
      <c r="O165" s="5"/>
      <c r="P165" s="5"/>
      <c r="Q165" s="5"/>
      <c r="R165" s="5"/>
      <c r="S165" s="5"/>
      <c r="T165" s="5"/>
      <c r="U165" s="5"/>
      <c r="V165" s="5"/>
      <c r="W165" s="5"/>
      <c r="X165" s="5"/>
      <c r="Y165" s="5"/>
      <c r="Z165" s="5"/>
    </row>
    <row r="166" ht="15.0" customHeight="1">
      <c r="A166" s="5"/>
      <c r="B166" s="59"/>
      <c r="C166" s="63"/>
      <c r="D166" s="63"/>
      <c r="E166" s="63"/>
      <c r="F166" s="63"/>
      <c r="G166" s="63"/>
      <c r="H166" s="63"/>
      <c r="I166" s="63"/>
      <c r="J166" s="65"/>
      <c r="K166" s="63"/>
      <c r="L166" s="161"/>
      <c r="M166" s="5"/>
      <c r="N166" s="5"/>
      <c r="O166" s="5"/>
      <c r="P166" s="5"/>
      <c r="Q166" s="5"/>
      <c r="R166" s="5"/>
      <c r="S166" s="5"/>
      <c r="T166" s="5"/>
      <c r="U166" s="5"/>
      <c r="V166" s="5"/>
      <c r="W166" s="5"/>
      <c r="X166" s="5"/>
      <c r="Y166" s="5"/>
      <c r="Z166" s="5"/>
    </row>
    <row r="167" ht="15.0" customHeight="1">
      <c r="A167" s="5"/>
      <c r="B167" s="59"/>
      <c r="C167" s="63"/>
      <c r="D167" s="63"/>
      <c r="E167" s="63"/>
      <c r="F167" s="63"/>
      <c r="G167" s="63"/>
      <c r="H167" s="63"/>
      <c r="I167" s="63"/>
      <c r="J167" s="65"/>
      <c r="K167" s="63"/>
      <c r="L167" s="161"/>
      <c r="M167" s="5"/>
      <c r="N167" s="5"/>
      <c r="O167" s="5"/>
      <c r="P167" s="5"/>
      <c r="Q167" s="5"/>
      <c r="R167" s="5"/>
      <c r="S167" s="5"/>
      <c r="T167" s="5"/>
      <c r="U167" s="5"/>
      <c r="V167" s="5"/>
      <c r="W167" s="5"/>
      <c r="X167" s="5"/>
      <c r="Y167" s="5"/>
      <c r="Z167" s="5"/>
    </row>
    <row r="168" ht="15.0" customHeight="1">
      <c r="A168" s="5"/>
      <c r="B168" s="59"/>
      <c r="C168" s="63"/>
      <c r="D168" s="63"/>
      <c r="E168" s="63"/>
      <c r="F168" s="63"/>
      <c r="G168" s="63"/>
      <c r="H168" s="63"/>
      <c r="I168" s="63"/>
      <c r="J168" s="65"/>
      <c r="K168" s="63"/>
      <c r="L168" s="161"/>
      <c r="M168" s="5"/>
      <c r="N168" s="5"/>
      <c r="O168" s="5"/>
      <c r="P168" s="5"/>
      <c r="Q168" s="5"/>
      <c r="R168" s="5"/>
      <c r="S168" s="5"/>
      <c r="T168" s="5"/>
      <c r="U168" s="5"/>
      <c r="V168" s="5"/>
      <c r="W168" s="5"/>
      <c r="X168" s="5"/>
      <c r="Y168" s="5"/>
      <c r="Z168" s="5"/>
    </row>
    <row r="169" ht="15.0" customHeight="1">
      <c r="A169" s="5"/>
      <c r="B169" s="59"/>
      <c r="C169" s="63"/>
      <c r="D169" s="63"/>
      <c r="E169" s="63"/>
      <c r="F169" s="63"/>
      <c r="G169" s="63"/>
      <c r="H169" s="63"/>
      <c r="I169" s="63"/>
      <c r="J169" s="65"/>
      <c r="K169" s="63"/>
      <c r="L169" s="161"/>
      <c r="M169" s="5"/>
      <c r="N169" s="5"/>
      <c r="O169" s="5"/>
      <c r="P169" s="5"/>
      <c r="Q169" s="5"/>
      <c r="R169" s="5"/>
      <c r="S169" s="5"/>
      <c r="T169" s="5"/>
      <c r="U169" s="5"/>
      <c r="V169" s="5"/>
      <c r="W169" s="5"/>
      <c r="X169" s="5"/>
      <c r="Y169" s="5"/>
      <c r="Z169" s="5"/>
    </row>
    <row r="170" ht="15.0" customHeight="1">
      <c r="A170" s="5"/>
      <c r="B170" s="59"/>
      <c r="C170" s="63"/>
      <c r="D170" s="63"/>
      <c r="E170" s="63"/>
      <c r="F170" s="63"/>
      <c r="G170" s="63"/>
      <c r="H170" s="63"/>
      <c r="I170" s="63"/>
      <c r="J170" s="65"/>
      <c r="K170" s="63"/>
      <c r="L170" s="161"/>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9.5" customHeight="1">
      <c r="A172" s="5"/>
      <c r="B172" s="159" t="str">
        <f>"③  " &amp; "63H04239" &amp; "   —   " &amp; SUMPRODUCT((ISNUMBER($B$174:$B$188))*N($C$174:$C$188)) &amp; " vỏ · " &amp; TEXT(SUM($J$174:$J$188),"#,##0") &amp; "đ" &amp; IF(SUMIF($K$174:$K$188,"Chưa thanh toán",$J$174:$J$188)&gt;0," · còn nợ "&amp;TEXT(SUMIF($K$174:$K$188,"Chưa thanh toán",$J$174:$J$188),"#,##0")&amp;"đ","")</f>
        <v>③  63H04239   —   20 vỏ · 77.900.000đ</v>
      </c>
      <c r="C172" s="2"/>
      <c r="D172" s="2"/>
      <c r="E172" s="2"/>
      <c r="F172" s="2"/>
      <c r="G172" s="2"/>
      <c r="H172" s="2"/>
      <c r="I172" s="2"/>
      <c r="J172" s="2"/>
      <c r="K172" s="2"/>
      <c r="L172" s="4"/>
      <c r="M172" s="5"/>
      <c r="N172" s="5"/>
      <c r="O172" s="5"/>
      <c r="P172" s="5"/>
      <c r="Q172" s="5"/>
      <c r="R172" s="5"/>
      <c r="S172" s="5"/>
      <c r="T172" s="5"/>
      <c r="U172" s="5"/>
      <c r="V172" s="5"/>
      <c r="W172" s="5"/>
      <c r="X172" s="5"/>
      <c r="Y172" s="5"/>
      <c r="Z172" s="5"/>
    </row>
    <row r="173" ht="25.5" customHeight="1">
      <c r="A173" s="5"/>
      <c r="B173" s="70" t="s">
        <v>127</v>
      </c>
      <c r="C173" s="70" t="s">
        <v>177</v>
      </c>
      <c r="D173" s="70" t="s">
        <v>178</v>
      </c>
      <c r="E173" s="70" t="s">
        <v>179</v>
      </c>
      <c r="F173" s="70" t="s">
        <v>180</v>
      </c>
      <c r="G173" s="70" t="s">
        <v>181</v>
      </c>
      <c r="H173" s="70" t="s">
        <v>182</v>
      </c>
      <c r="I173" s="70" t="s">
        <v>48</v>
      </c>
      <c r="J173" s="70" t="s">
        <v>49</v>
      </c>
      <c r="K173" s="70" t="s">
        <v>50</v>
      </c>
      <c r="L173" s="70" t="s">
        <v>19</v>
      </c>
      <c r="M173" s="5"/>
      <c r="N173" s="5"/>
      <c r="O173" s="5"/>
      <c r="P173" s="5"/>
      <c r="Q173" s="5"/>
      <c r="R173" s="5"/>
      <c r="S173" s="5"/>
      <c r="T173" s="5"/>
      <c r="U173" s="5"/>
      <c r="V173" s="5"/>
      <c r="W173" s="5"/>
      <c r="X173" s="5"/>
      <c r="Y173" s="5"/>
      <c r="Z173" s="5"/>
    </row>
    <row r="174" ht="15.0" customHeight="1">
      <c r="A174" s="5"/>
      <c r="B174" s="52">
        <v>46026.0</v>
      </c>
      <c r="C174" s="54">
        <v>2.0</v>
      </c>
      <c r="D174" s="54"/>
      <c r="E174" s="54"/>
      <c r="F174" s="54"/>
      <c r="G174" s="54" t="s">
        <v>188</v>
      </c>
      <c r="H174" s="54"/>
      <c r="I174" s="54"/>
      <c r="J174" s="55">
        <v>8400000.0</v>
      </c>
      <c r="K174" s="54" t="s">
        <v>53</v>
      </c>
      <c r="L174" s="160" t="s">
        <v>196</v>
      </c>
      <c r="M174" s="5"/>
      <c r="N174" s="5"/>
      <c r="O174" s="5"/>
      <c r="P174" s="5"/>
      <c r="Q174" s="5"/>
      <c r="R174" s="5"/>
      <c r="S174" s="5"/>
      <c r="T174" s="5"/>
      <c r="U174" s="5"/>
      <c r="V174" s="5"/>
      <c r="W174" s="5"/>
      <c r="X174" s="5"/>
      <c r="Y174" s="5"/>
      <c r="Z174" s="5"/>
    </row>
    <row r="175" ht="15.0" customHeight="1">
      <c r="A175" s="5"/>
      <c r="B175" s="52">
        <v>46080.0</v>
      </c>
      <c r="C175" s="54">
        <v>4.0</v>
      </c>
      <c r="D175" s="54"/>
      <c r="E175" s="54"/>
      <c r="F175" s="54"/>
      <c r="G175" s="54" t="s">
        <v>188</v>
      </c>
      <c r="H175" s="54"/>
      <c r="I175" s="54"/>
      <c r="J175" s="55">
        <v>2.06E7</v>
      </c>
      <c r="K175" s="54" t="s">
        <v>53</v>
      </c>
      <c r="L175" s="160" t="s">
        <v>255</v>
      </c>
      <c r="M175" s="5"/>
      <c r="N175" s="5"/>
      <c r="O175" s="5"/>
      <c r="P175" s="5"/>
      <c r="Q175" s="5"/>
      <c r="R175" s="5"/>
      <c r="S175" s="5"/>
      <c r="T175" s="5"/>
      <c r="U175" s="5"/>
      <c r="V175" s="5"/>
      <c r="W175" s="5"/>
      <c r="X175" s="5"/>
      <c r="Y175" s="5"/>
      <c r="Z175" s="5"/>
    </row>
    <row r="176" ht="15.0" customHeight="1">
      <c r="A176" s="5"/>
      <c r="B176" s="52">
        <v>46084.0</v>
      </c>
      <c r="C176" s="54"/>
      <c r="D176" s="54"/>
      <c r="E176" s="54"/>
      <c r="F176" s="54"/>
      <c r="G176" s="54"/>
      <c r="H176" s="54" t="s">
        <v>256</v>
      </c>
      <c r="I176" s="54"/>
      <c r="J176" s="55">
        <v>700000.0</v>
      </c>
      <c r="K176" s="54" t="s">
        <v>53</v>
      </c>
      <c r="L176" s="160"/>
      <c r="M176" s="5"/>
      <c r="N176" s="5"/>
      <c r="O176" s="5"/>
      <c r="P176" s="5"/>
      <c r="Q176" s="5"/>
      <c r="R176" s="5"/>
      <c r="S176" s="5"/>
      <c r="T176" s="5"/>
      <c r="U176" s="5"/>
      <c r="V176" s="5"/>
      <c r="W176" s="5"/>
      <c r="X176" s="5"/>
      <c r="Y176" s="5"/>
      <c r="Z176" s="5"/>
    </row>
    <row r="177" ht="15.0" customHeight="1">
      <c r="A177" s="5"/>
      <c r="B177" s="52">
        <v>46100.0</v>
      </c>
      <c r="C177" s="54">
        <v>2.0</v>
      </c>
      <c r="D177" s="54"/>
      <c r="E177" s="54"/>
      <c r="F177" s="54"/>
      <c r="G177" s="54" t="s">
        <v>193</v>
      </c>
      <c r="H177" s="54"/>
      <c r="I177" s="54" t="s">
        <v>257</v>
      </c>
      <c r="J177" s="55">
        <v>8400000.0</v>
      </c>
      <c r="K177" s="54" t="s">
        <v>53</v>
      </c>
      <c r="L177" s="160" t="s">
        <v>194</v>
      </c>
      <c r="M177" s="5"/>
      <c r="N177" s="5"/>
      <c r="O177" s="5"/>
      <c r="P177" s="5"/>
      <c r="Q177" s="5"/>
      <c r="R177" s="5"/>
      <c r="S177" s="5"/>
      <c r="T177" s="5"/>
      <c r="U177" s="5"/>
      <c r="V177" s="5"/>
      <c r="W177" s="5"/>
      <c r="X177" s="5"/>
      <c r="Y177" s="5"/>
      <c r="Z177" s="5"/>
    </row>
    <row r="178" ht="15.0" customHeight="1">
      <c r="A178" s="5"/>
      <c r="B178" s="52">
        <v>46109.0</v>
      </c>
      <c r="C178" s="54">
        <v>2.0</v>
      </c>
      <c r="D178" s="54"/>
      <c r="E178" s="54"/>
      <c r="F178" s="54"/>
      <c r="G178" s="54" t="s">
        <v>193</v>
      </c>
      <c r="H178" s="54"/>
      <c r="I178" s="54" t="s">
        <v>258</v>
      </c>
      <c r="J178" s="55">
        <v>8400000.0</v>
      </c>
      <c r="K178" s="54" t="s">
        <v>53</v>
      </c>
      <c r="L178" s="160" t="s">
        <v>194</v>
      </c>
      <c r="M178" s="5"/>
      <c r="N178" s="5"/>
      <c r="O178" s="5"/>
      <c r="P178" s="5"/>
      <c r="Q178" s="5"/>
      <c r="R178" s="5"/>
      <c r="S178" s="5"/>
      <c r="T178" s="5"/>
      <c r="U178" s="5"/>
      <c r="V178" s="5"/>
      <c r="W178" s="5"/>
      <c r="X178" s="5"/>
      <c r="Y178" s="5"/>
      <c r="Z178" s="5"/>
    </row>
    <row r="179" ht="15.0" customHeight="1">
      <c r="A179" s="5"/>
      <c r="B179" s="52">
        <v>46137.0</v>
      </c>
      <c r="C179" s="54">
        <v>2.0</v>
      </c>
      <c r="D179" s="54"/>
      <c r="E179" s="54"/>
      <c r="F179" s="54"/>
      <c r="G179" s="54" t="s">
        <v>198</v>
      </c>
      <c r="H179" s="54"/>
      <c r="I179" s="54" t="s">
        <v>259</v>
      </c>
      <c r="J179" s="55">
        <v>9600000.0</v>
      </c>
      <c r="K179" s="54" t="s">
        <v>53</v>
      </c>
      <c r="L179" s="160" t="s">
        <v>230</v>
      </c>
      <c r="M179" s="5"/>
      <c r="N179" s="5"/>
      <c r="O179" s="5"/>
      <c r="P179" s="5"/>
      <c r="Q179" s="5"/>
      <c r="R179" s="5"/>
      <c r="S179" s="5"/>
      <c r="T179" s="5"/>
      <c r="U179" s="5"/>
      <c r="V179" s="5"/>
      <c r="W179" s="5"/>
      <c r="X179" s="5"/>
      <c r="Y179" s="5"/>
      <c r="Z179" s="5"/>
    </row>
    <row r="180" ht="15.0" customHeight="1">
      <c r="A180" s="5"/>
      <c r="B180" s="52">
        <v>46164.0</v>
      </c>
      <c r="C180" s="54">
        <v>2.0</v>
      </c>
      <c r="D180" s="54"/>
      <c r="E180" s="54"/>
      <c r="F180" s="54"/>
      <c r="G180" s="54" t="s">
        <v>186</v>
      </c>
      <c r="H180" s="54"/>
      <c r="I180" s="54" t="s">
        <v>260</v>
      </c>
      <c r="J180" s="55">
        <v>1.0E7</v>
      </c>
      <c r="K180" s="54" t="s">
        <v>53</v>
      </c>
      <c r="L180" s="160" t="s">
        <v>197</v>
      </c>
      <c r="M180" s="5"/>
      <c r="N180" s="5"/>
      <c r="O180" s="5"/>
      <c r="P180" s="5"/>
      <c r="Q180" s="5"/>
      <c r="R180" s="5"/>
      <c r="S180" s="5"/>
      <c r="T180" s="5"/>
      <c r="U180" s="5"/>
      <c r="V180" s="5"/>
      <c r="W180" s="5"/>
      <c r="X180" s="5"/>
      <c r="Y180" s="5"/>
      <c r="Z180" s="5"/>
    </row>
    <row r="181" ht="15.0" customHeight="1">
      <c r="A181" s="5"/>
      <c r="B181" s="163">
        <v>46246.0</v>
      </c>
      <c r="C181" s="164">
        <v>2.0</v>
      </c>
      <c r="D181" s="74"/>
      <c r="E181" s="74"/>
      <c r="F181" s="74"/>
      <c r="G181" s="164" t="s">
        <v>198</v>
      </c>
      <c r="H181" s="74"/>
      <c r="I181" s="164">
        <v>5938.0</v>
      </c>
      <c r="J181" s="169">
        <v>1.18E7</v>
      </c>
      <c r="K181" s="164" t="s">
        <v>53</v>
      </c>
      <c r="L181" s="160" t="s">
        <v>230</v>
      </c>
      <c r="M181" s="5"/>
      <c r="N181" s="5"/>
      <c r="O181" s="5"/>
      <c r="P181" s="5"/>
      <c r="Q181" s="5"/>
      <c r="R181" s="5"/>
      <c r="S181" s="5"/>
      <c r="T181" s="5"/>
      <c r="U181" s="5"/>
      <c r="V181" s="5"/>
      <c r="W181" s="5"/>
      <c r="X181" s="5"/>
      <c r="Y181" s="5"/>
      <c r="Z181" s="5"/>
    </row>
    <row r="182" ht="15.0" customHeight="1">
      <c r="A182" s="5"/>
      <c r="B182" s="163">
        <v>46260.0</v>
      </c>
      <c r="C182" s="164">
        <v>4.0</v>
      </c>
      <c r="D182" s="164" t="s">
        <v>261</v>
      </c>
      <c r="E182" s="164" t="s">
        <v>262</v>
      </c>
      <c r="F182" s="164" t="s">
        <v>263</v>
      </c>
      <c r="G182" s="164" t="s">
        <v>264</v>
      </c>
      <c r="H182" s="164" t="s">
        <v>265</v>
      </c>
      <c r="I182" s="74"/>
      <c r="J182" s="76"/>
      <c r="K182" s="164" t="s">
        <v>152</v>
      </c>
      <c r="L182" s="166"/>
      <c r="M182" s="5"/>
      <c r="N182" s="5"/>
      <c r="O182" s="5"/>
      <c r="P182" s="5"/>
      <c r="Q182" s="5"/>
      <c r="R182" s="5"/>
      <c r="S182" s="5"/>
      <c r="T182" s="5"/>
      <c r="U182" s="5"/>
      <c r="V182" s="5"/>
      <c r="W182" s="5"/>
      <c r="X182" s="5"/>
      <c r="Y182" s="5"/>
      <c r="Z182" s="5"/>
    </row>
    <row r="183" ht="15.0" customHeight="1">
      <c r="A183" s="5"/>
      <c r="B183" s="72"/>
      <c r="C183" s="74"/>
      <c r="D183" s="74"/>
      <c r="E183" s="74"/>
      <c r="F183" s="74"/>
      <c r="G183" s="74"/>
      <c r="H183" s="74"/>
      <c r="I183" s="74"/>
      <c r="J183" s="76"/>
      <c r="K183" s="74"/>
      <c r="L183" s="166"/>
      <c r="M183" s="5"/>
      <c r="N183" s="5"/>
      <c r="O183" s="5"/>
      <c r="P183" s="5"/>
      <c r="Q183" s="5"/>
      <c r="R183" s="5"/>
      <c r="S183" s="5"/>
      <c r="T183" s="5"/>
      <c r="U183" s="5"/>
      <c r="V183" s="5"/>
      <c r="W183" s="5"/>
      <c r="X183" s="5"/>
      <c r="Y183" s="5"/>
      <c r="Z183" s="5"/>
    </row>
    <row r="184" ht="15.0" customHeight="1">
      <c r="A184" s="5"/>
      <c r="B184" s="72"/>
      <c r="C184" s="74"/>
      <c r="D184" s="74"/>
      <c r="E184" s="74"/>
      <c r="F184" s="74"/>
      <c r="G184" s="74"/>
      <c r="H184" s="74"/>
      <c r="I184" s="74"/>
      <c r="J184" s="76"/>
      <c r="K184" s="74"/>
      <c r="L184" s="166"/>
      <c r="M184" s="5"/>
      <c r="N184" s="5"/>
      <c r="O184" s="5"/>
      <c r="P184" s="5"/>
      <c r="Q184" s="5"/>
      <c r="R184" s="5"/>
      <c r="S184" s="5"/>
      <c r="T184" s="5"/>
      <c r="U184" s="5"/>
      <c r="V184" s="5"/>
      <c r="W184" s="5"/>
      <c r="X184" s="5"/>
      <c r="Y184" s="5"/>
      <c r="Z184" s="5"/>
    </row>
    <row r="185" ht="15.0" customHeight="1">
      <c r="A185" s="5"/>
      <c r="B185" s="72"/>
      <c r="C185" s="74"/>
      <c r="D185" s="74"/>
      <c r="E185" s="74"/>
      <c r="F185" s="74"/>
      <c r="G185" s="74"/>
      <c r="H185" s="74"/>
      <c r="I185" s="74"/>
      <c r="J185" s="76"/>
      <c r="K185" s="74"/>
      <c r="L185" s="166"/>
      <c r="M185" s="5"/>
      <c r="N185" s="5"/>
      <c r="O185" s="5"/>
      <c r="P185" s="5"/>
      <c r="Q185" s="5"/>
      <c r="R185" s="5"/>
      <c r="S185" s="5"/>
      <c r="T185" s="5"/>
      <c r="U185" s="5"/>
      <c r="V185" s="5"/>
      <c r="W185" s="5"/>
      <c r="X185" s="5"/>
      <c r="Y185" s="5"/>
      <c r="Z185" s="5"/>
    </row>
    <row r="186" ht="15.0" customHeight="1">
      <c r="A186" s="5"/>
      <c r="B186" s="72"/>
      <c r="C186" s="74"/>
      <c r="D186" s="74"/>
      <c r="E186" s="74"/>
      <c r="F186" s="74"/>
      <c r="G186" s="74"/>
      <c r="H186" s="74"/>
      <c r="I186" s="74"/>
      <c r="J186" s="76"/>
      <c r="K186" s="74"/>
      <c r="L186" s="166"/>
      <c r="M186" s="5"/>
      <c r="N186" s="5"/>
      <c r="O186" s="5"/>
      <c r="P186" s="5"/>
      <c r="Q186" s="5"/>
      <c r="R186" s="5"/>
      <c r="S186" s="5"/>
      <c r="T186" s="5"/>
      <c r="U186" s="5"/>
      <c r="V186" s="5"/>
      <c r="W186" s="5"/>
      <c r="X186" s="5"/>
      <c r="Y186" s="5"/>
      <c r="Z186" s="5"/>
    </row>
    <row r="187" ht="15.0" customHeight="1">
      <c r="A187" s="5"/>
      <c r="B187" s="72"/>
      <c r="C187" s="74"/>
      <c r="D187" s="74"/>
      <c r="E187" s="74"/>
      <c r="F187" s="74"/>
      <c r="G187" s="74"/>
      <c r="H187" s="74"/>
      <c r="I187" s="74"/>
      <c r="J187" s="76"/>
      <c r="K187" s="74"/>
      <c r="L187" s="166"/>
      <c r="M187" s="5"/>
      <c r="N187" s="5"/>
      <c r="O187" s="5"/>
      <c r="P187" s="5"/>
      <c r="Q187" s="5"/>
      <c r="R187" s="5"/>
      <c r="S187" s="5"/>
      <c r="T187" s="5"/>
      <c r="U187" s="5"/>
      <c r="V187" s="5"/>
      <c r="W187" s="5"/>
      <c r="X187" s="5"/>
      <c r="Y187" s="5"/>
      <c r="Z187" s="5"/>
    </row>
    <row r="188" ht="15.0" customHeight="1">
      <c r="A188" s="5"/>
      <c r="B188" s="72"/>
      <c r="C188" s="74"/>
      <c r="D188" s="74"/>
      <c r="E188" s="74"/>
      <c r="F188" s="74"/>
      <c r="G188" s="74"/>
      <c r="H188" s="74"/>
      <c r="I188" s="74"/>
      <c r="J188" s="76"/>
      <c r="K188" s="74"/>
      <c r="L188" s="166"/>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9.5" customHeight="1">
      <c r="A190" s="5"/>
      <c r="B190" s="159" t="str">
        <f>"③  " &amp; "63E01201" &amp; "   —   " &amp; SUMPRODUCT((ISNUMBER($B$192:$B$200))*N($C$192:$C$200)) &amp; " vỏ · " &amp; TEXT(SUM($J$192:$J$200),"#,##0") &amp; "đ" &amp; IF(SUMIF($K$192:$K$200,"Chưa thanh toán",$J$192:$J$200)&gt;0," · còn nợ "&amp;TEXT(SUMIF($K$192:$K$200,"Chưa thanh toán",$J$192:$J$200),"#,##0")&amp;"đ","")</f>
        <v>③  63E01201   —   0 vỏ · 0đ</v>
      </c>
      <c r="C190" s="2"/>
      <c r="D190" s="2"/>
      <c r="E190" s="2"/>
      <c r="F190" s="2"/>
      <c r="G190" s="2"/>
      <c r="H190" s="2"/>
      <c r="I190" s="2"/>
      <c r="J190" s="2"/>
      <c r="K190" s="2"/>
      <c r="L190" s="4"/>
      <c r="M190" s="5"/>
      <c r="N190" s="5"/>
      <c r="O190" s="5"/>
      <c r="P190" s="5"/>
      <c r="Q190" s="5"/>
      <c r="R190" s="5"/>
      <c r="S190" s="5"/>
      <c r="T190" s="5"/>
      <c r="U190" s="5"/>
      <c r="V190" s="5"/>
      <c r="W190" s="5"/>
      <c r="X190" s="5"/>
      <c r="Y190" s="5"/>
      <c r="Z190" s="5"/>
    </row>
    <row r="191" ht="25.5" customHeight="1">
      <c r="A191" s="5"/>
      <c r="B191" s="40" t="s">
        <v>127</v>
      </c>
      <c r="C191" s="40" t="s">
        <v>177</v>
      </c>
      <c r="D191" s="40" t="s">
        <v>178</v>
      </c>
      <c r="E191" s="40" t="s">
        <v>179</v>
      </c>
      <c r="F191" s="40" t="s">
        <v>180</v>
      </c>
      <c r="G191" s="40" t="s">
        <v>181</v>
      </c>
      <c r="H191" s="40" t="s">
        <v>182</v>
      </c>
      <c r="I191" s="40" t="s">
        <v>48</v>
      </c>
      <c r="J191" s="40" t="s">
        <v>49</v>
      </c>
      <c r="K191" s="40" t="s">
        <v>50</v>
      </c>
      <c r="L191" s="40" t="s">
        <v>19</v>
      </c>
      <c r="M191" s="5"/>
      <c r="N191" s="5"/>
      <c r="O191" s="5"/>
      <c r="P191" s="5"/>
      <c r="Q191" s="5"/>
      <c r="R191" s="5"/>
      <c r="S191" s="5"/>
      <c r="T191" s="5"/>
      <c r="U191" s="5"/>
      <c r="V191" s="5"/>
      <c r="W191" s="5"/>
      <c r="X191" s="5"/>
      <c r="Y191" s="5"/>
      <c r="Z191" s="5"/>
    </row>
    <row r="192" ht="15.0" customHeight="1">
      <c r="A192" s="5"/>
      <c r="B192" s="59"/>
      <c r="C192" s="63"/>
      <c r="D192" s="63"/>
      <c r="E192" s="63"/>
      <c r="F192" s="63"/>
      <c r="G192" s="63"/>
      <c r="H192" s="63"/>
      <c r="I192" s="63"/>
      <c r="J192" s="65"/>
      <c r="K192" s="63"/>
      <c r="L192" s="161"/>
      <c r="M192" s="5"/>
      <c r="N192" s="5"/>
      <c r="O192" s="5"/>
      <c r="P192" s="5"/>
      <c r="Q192" s="5"/>
      <c r="R192" s="5"/>
      <c r="S192" s="5"/>
      <c r="T192" s="5"/>
      <c r="U192" s="5"/>
      <c r="V192" s="5"/>
      <c r="W192" s="5"/>
      <c r="X192" s="5"/>
      <c r="Y192" s="5"/>
      <c r="Z192" s="5"/>
    </row>
    <row r="193" ht="15.0" customHeight="1">
      <c r="A193" s="5"/>
      <c r="B193" s="59"/>
      <c r="C193" s="63"/>
      <c r="D193" s="63"/>
      <c r="E193" s="63"/>
      <c r="F193" s="63"/>
      <c r="G193" s="63"/>
      <c r="H193" s="63"/>
      <c r="I193" s="63"/>
      <c r="J193" s="65"/>
      <c r="K193" s="63"/>
      <c r="L193" s="161"/>
      <c r="M193" s="5"/>
      <c r="N193" s="5"/>
      <c r="O193" s="5"/>
      <c r="P193" s="5"/>
      <c r="Q193" s="5"/>
      <c r="R193" s="5"/>
      <c r="S193" s="5"/>
      <c r="T193" s="5"/>
      <c r="U193" s="5"/>
      <c r="V193" s="5"/>
      <c r="W193" s="5"/>
      <c r="X193" s="5"/>
      <c r="Y193" s="5"/>
      <c r="Z193" s="5"/>
    </row>
    <row r="194" ht="15.0" customHeight="1">
      <c r="A194" s="5"/>
      <c r="B194" s="59"/>
      <c r="C194" s="63"/>
      <c r="D194" s="63"/>
      <c r="E194" s="63"/>
      <c r="F194" s="63"/>
      <c r="G194" s="63"/>
      <c r="H194" s="63"/>
      <c r="I194" s="63"/>
      <c r="J194" s="65"/>
      <c r="K194" s="63"/>
      <c r="L194" s="161"/>
      <c r="M194" s="5"/>
      <c r="N194" s="5"/>
      <c r="O194" s="5"/>
      <c r="P194" s="5"/>
      <c r="Q194" s="5"/>
      <c r="R194" s="5"/>
      <c r="S194" s="5"/>
      <c r="T194" s="5"/>
      <c r="U194" s="5"/>
      <c r="V194" s="5"/>
      <c r="W194" s="5"/>
      <c r="X194" s="5"/>
      <c r="Y194" s="5"/>
      <c r="Z194" s="5"/>
    </row>
    <row r="195" ht="15.0" customHeight="1">
      <c r="A195" s="5"/>
      <c r="B195" s="59"/>
      <c r="C195" s="63"/>
      <c r="D195" s="63"/>
      <c r="E195" s="63"/>
      <c r="F195" s="63"/>
      <c r="G195" s="63"/>
      <c r="H195" s="63"/>
      <c r="I195" s="63"/>
      <c r="J195" s="65"/>
      <c r="K195" s="63"/>
      <c r="L195" s="161"/>
      <c r="M195" s="5"/>
      <c r="N195" s="5"/>
      <c r="O195" s="5"/>
      <c r="P195" s="5"/>
      <c r="Q195" s="5"/>
      <c r="R195" s="5"/>
      <c r="S195" s="5"/>
      <c r="T195" s="5"/>
      <c r="U195" s="5"/>
      <c r="V195" s="5"/>
      <c r="W195" s="5"/>
      <c r="X195" s="5"/>
      <c r="Y195" s="5"/>
      <c r="Z195" s="5"/>
    </row>
    <row r="196" ht="15.0" customHeight="1">
      <c r="A196" s="5"/>
      <c r="B196" s="59"/>
      <c r="C196" s="63"/>
      <c r="D196" s="63"/>
      <c r="E196" s="63"/>
      <c r="F196" s="63"/>
      <c r="G196" s="63"/>
      <c r="H196" s="63"/>
      <c r="I196" s="63"/>
      <c r="J196" s="65"/>
      <c r="K196" s="63"/>
      <c r="L196" s="161"/>
      <c r="M196" s="5"/>
      <c r="N196" s="5"/>
      <c r="O196" s="5"/>
      <c r="P196" s="5"/>
      <c r="Q196" s="5"/>
      <c r="R196" s="5"/>
      <c r="S196" s="5"/>
      <c r="T196" s="5"/>
      <c r="U196" s="5"/>
      <c r="V196" s="5"/>
      <c r="W196" s="5"/>
      <c r="X196" s="5"/>
      <c r="Y196" s="5"/>
      <c r="Z196" s="5"/>
    </row>
    <row r="197" ht="15.0" customHeight="1">
      <c r="A197" s="5"/>
      <c r="B197" s="59"/>
      <c r="C197" s="63"/>
      <c r="D197" s="63"/>
      <c r="E197" s="63"/>
      <c r="F197" s="63"/>
      <c r="G197" s="63"/>
      <c r="H197" s="63"/>
      <c r="I197" s="63"/>
      <c r="J197" s="65"/>
      <c r="K197" s="63"/>
      <c r="L197" s="161"/>
      <c r="M197" s="5"/>
      <c r="N197" s="5"/>
      <c r="O197" s="5"/>
      <c r="P197" s="5"/>
      <c r="Q197" s="5"/>
      <c r="R197" s="5"/>
      <c r="S197" s="5"/>
      <c r="T197" s="5"/>
      <c r="U197" s="5"/>
      <c r="V197" s="5"/>
      <c r="W197" s="5"/>
      <c r="X197" s="5"/>
      <c r="Y197" s="5"/>
      <c r="Z197" s="5"/>
    </row>
    <row r="198" ht="15.0" customHeight="1">
      <c r="A198" s="5"/>
      <c r="B198" s="59"/>
      <c r="C198" s="63"/>
      <c r="D198" s="63"/>
      <c r="E198" s="63"/>
      <c r="F198" s="63"/>
      <c r="G198" s="63"/>
      <c r="H198" s="63"/>
      <c r="I198" s="63"/>
      <c r="J198" s="65"/>
      <c r="K198" s="63"/>
      <c r="L198" s="161"/>
      <c r="M198" s="5"/>
      <c r="N198" s="5"/>
      <c r="O198" s="5"/>
      <c r="P198" s="5"/>
      <c r="Q198" s="5"/>
      <c r="R198" s="5"/>
      <c r="S198" s="5"/>
      <c r="T198" s="5"/>
      <c r="U198" s="5"/>
      <c r="V198" s="5"/>
      <c r="W198" s="5"/>
      <c r="X198" s="5"/>
      <c r="Y198" s="5"/>
      <c r="Z198" s="5"/>
    </row>
    <row r="199" ht="15.0" customHeight="1">
      <c r="A199" s="5"/>
      <c r="B199" s="59"/>
      <c r="C199" s="63"/>
      <c r="D199" s="63"/>
      <c r="E199" s="63"/>
      <c r="F199" s="63"/>
      <c r="G199" s="63"/>
      <c r="H199" s="63"/>
      <c r="I199" s="63"/>
      <c r="J199" s="65"/>
      <c r="K199" s="63"/>
      <c r="L199" s="161"/>
      <c r="M199" s="5"/>
      <c r="N199" s="5"/>
      <c r="O199" s="5"/>
      <c r="P199" s="5"/>
      <c r="Q199" s="5"/>
      <c r="R199" s="5"/>
      <c r="S199" s="5"/>
      <c r="T199" s="5"/>
      <c r="U199" s="5"/>
      <c r="V199" s="5"/>
      <c r="W199" s="5"/>
      <c r="X199" s="5"/>
      <c r="Y199" s="5"/>
      <c r="Z199" s="5"/>
    </row>
    <row r="200" ht="15.0" customHeight="1">
      <c r="A200" s="5"/>
      <c r="B200" s="59"/>
      <c r="C200" s="63"/>
      <c r="D200" s="63"/>
      <c r="E200" s="63"/>
      <c r="F200" s="63"/>
      <c r="G200" s="63"/>
      <c r="H200" s="63"/>
      <c r="I200" s="63"/>
      <c r="J200" s="65"/>
      <c r="K200" s="63"/>
      <c r="L200" s="161"/>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9.5" customHeight="1">
      <c r="A202" s="5"/>
      <c r="B202" s="159" t="str">
        <f>"③  " &amp; "63E01132" &amp; "   —   " &amp; SUMPRODUCT((ISNUMBER($B$204:$B$212))*N($C$204:$C$212)) &amp; " vỏ · " &amp; TEXT(SUM($J$204:$J$212),"#,##0") &amp; "đ" &amp; IF(SUMIF($K$204:$K$212,"Chưa thanh toán",$J$204:$J$212)&gt;0," · còn nợ "&amp;TEXT(SUMIF($K$204:$K$212,"Chưa thanh toán",$J$204:$J$212),"#,##0")&amp;"đ","")</f>
        <v>③  63E01132   —   2 vỏ · 11.860.000đ</v>
      </c>
      <c r="C202" s="2"/>
      <c r="D202" s="2"/>
      <c r="E202" s="2"/>
      <c r="F202" s="2"/>
      <c r="G202" s="2"/>
      <c r="H202" s="2"/>
      <c r="I202" s="2"/>
      <c r="J202" s="2"/>
      <c r="K202" s="2"/>
      <c r="L202" s="4"/>
      <c r="M202" s="5"/>
      <c r="N202" s="5"/>
      <c r="O202" s="5"/>
      <c r="P202" s="5"/>
      <c r="Q202" s="5"/>
      <c r="R202" s="5"/>
      <c r="S202" s="5"/>
      <c r="T202" s="5"/>
      <c r="U202" s="5"/>
      <c r="V202" s="5"/>
      <c r="W202" s="5"/>
      <c r="X202" s="5"/>
      <c r="Y202" s="5"/>
      <c r="Z202" s="5"/>
    </row>
    <row r="203" ht="25.5" customHeight="1">
      <c r="A203" s="5"/>
      <c r="B203" s="70" t="s">
        <v>127</v>
      </c>
      <c r="C203" s="70" t="s">
        <v>177</v>
      </c>
      <c r="D203" s="70" t="s">
        <v>178</v>
      </c>
      <c r="E203" s="70" t="s">
        <v>179</v>
      </c>
      <c r="F203" s="70" t="s">
        <v>180</v>
      </c>
      <c r="G203" s="70" t="s">
        <v>181</v>
      </c>
      <c r="H203" s="70" t="s">
        <v>182</v>
      </c>
      <c r="I203" s="70" t="s">
        <v>48</v>
      </c>
      <c r="J203" s="70" t="s">
        <v>49</v>
      </c>
      <c r="K203" s="70" t="s">
        <v>50</v>
      </c>
      <c r="L203" s="70" t="s">
        <v>19</v>
      </c>
      <c r="M203" s="5"/>
      <c r="N203" s="5"/>
      <c r="O203" s="5"/>
      <c r="P203" s="5"/>
      <c r="Q203" s="5"/>
      <c r="R203" s="5"/>
      <c r="S203" s="5"/>
      <c r="T203" s="5"/>
      <c r="U203" s="5"/>
      <c r="V203" s="5"/>
      <c r="W203" s="5"/>
      <c r="X203" s="5"/>
      <c r="Y203" s="5"/>
      <c r="Z203" s="5"/>
    </row>
    <row r="204" ht="15.0" customHeight="1">
      <c r="A204" s="5"/>
      <c r="B204" s="52">
        <v>46192.0</v>
      </c>
      <c r="C204" s="54">
        <v>2.0</v>
      </c>
      <c r="D204" s="54"/>
      <c r="E204" s="54"/>
      <c r="F204" s="54"/>
      <c r="G204" s="54" t="s">
        <v>198</v>
      </c>
      <c r="H204" s="54"/>
      <c r="I204" s="54"/>
      <c r="J204" s="55">
        <v>1.186E7</v>
      </c>
      <c r="K204" s="54" t="s">
        <v>53</v>
      </c>
      <c r="L204" s="160" t="s">
        <v>266</v>
      </c>
      <c r="M204" s="5"/>
      <c r="N204" s="5"/>
      <c r="O204" s="5"/>
      <c r="P204" s="5"/>
      <c r="Q204" s="5"/>
      <c r="R204" s="5"/>
      <c r="S204" s="5"/>
      <c r="T204" s="5"/>
      <c r="U204" s="5"/>
      <c r="V204" s="5"/>
      <c r="W204" s="5"/>
      <c r="X204" s="5"/>
      <c r="Y204" s="5"/>
      <c r="Z204" s="5"/>
    </row>
    <row r="205" ht="15.0" customHeight="1">
      <c r="A205" s="5"/>
      <c r="B205" s="72"/>
      <c r="C205" s="74"/>
      <c r="D205" s="74"/>
      <c r="E205" s="74"/>
      <c r="F205" s="74"/>
      <c r="G205" s="74"/>
      <c r="H205" s="74"/>
      <c r="I205" s="74"/>
      <c r="J205" s="76"/>
      <c r="K205" s="74"/>
      <c r="L205" s="166"/>
      <c r="M205" s="5"/>
      <c r="N205" s="5"/>
      <c r="O205" s="5"/>
      <c r="P205" s="5"/>
      <c r="Q205" s="5"/>
      <c r="R205" s="5"/>
      <c r="S205" s="5"/>
      <c r="T205" s="5"/>
      <c r="U205" s="5"/>
      <c r="V205" s="5"/>
      <c r="W205" s="5"/>
      <c r="X205" s="5"/>
      <c r="Y205" s="5"/>
      <c r="Z205" s="5"/>
    </row>
    <row r="206" ht="15.0" customHeight="1">
      <c r="A206" s="5"/>
      <c r="B206" s="72"/>
      <c r="C206" s="74"/>
      <c r="D206" s="74"/>
      <c r="E206" s="74"/>
      <c r="F206" s="74"/>
      <c r="G206" s="74"/>
      <c r="H206" s="74"/>
      <c r="I206" s="74"/>
      <c r="J206" s="76"/>
      <c r="K206" s="74"/>
      <c r="L206" s="166"/>
      <c r="M206" s="5"/>
      <c r="N206" s="5"/>
      <c r="O206" s="5"/>
      <c r="P206" s="5"/>
      <c r="Q206" s="5"/>
      <c r="R206" s="5"/>
      <c r="S206" s="5"/>
      <c r="T206" s="5"/>
      <c r="U206" s="5"/>
      <c r="V206" s="5"/>
      <c r="W206" s="5"/>
      <c r="X206" s="5"/>
      <c r="Y206" s="5"/>
      <c r="Z206" s="5"/>
    </row>
    <row r="207" ht="15.0" customHeight="1">
      <c r="A207" s="5"/>
      <c r="B207" s="72"/>
      <c r="C207" s="74"/>
      <c r="D207" s="74"/>
      <c r="E207" s="74"/>
      <c r="F207" s="74"/>
      <c r="G207" s="74"/>
      <c r="H207" s="74"/>
      <c r="I207" s="74"/>
      <c r="J207" s="76"/>
      <c r="K207" s="74"/>
      <c r="L207" s="166"/>
      <c r="M207" s="5"/>
      <c r="N207" s="5"/>
      <c r="O207" s="5"/>
      <c r="P207" s="5"/>
      <c r="Q207" s="5"/>
      <c r="R207" s="5"/>
      <c r="S207" s="5"/>
      <c r="T207" s="5"/>
      <c r="U207" s="5"/>
      <c r="V207" s="5"/>
      <c r="W207" s="5"/>
      <c r="X207" s="5"/>
      <c r="Y207" s="5"/>
      <c r="Z207" s="5"/>
    </row>
    <row r="208" ht="15.0" customHeight="1">
      <c r="A208" s="5"/>
      <c r="B208" s="72"/>
      <c r="C208" s="74"/>
      <c r="D208" s="74"/>
      <c r="E208" s="74"/>
      <c r="F208" s="74"/>
      <c r="G208" s="74"/>
      <c r="H208" s="74"/>
      <c r="I208" s="74"/>
      <c r="J208" s="76"/>
      <c r="K208" s="74"/>
      <c r="L208" s="166"/>
      <c r="M208" s="5"/>
      <c r="N208" s="5"/>
      <c r="O208" s="5"/>
      <c r="P208" s="5"/>
      <c r="Q208" s="5"/>
      <c r="R208" s="5"/>
      <c r="S208" s="5"/>
      <c r="T208" s="5"/>
      <c r="U208" s="5"/>
      <c r="V208" s="5"/>
      <c r="W208" s="5"/>
      <c r="X208" s="5"/>
      <c r="Y208" s="5"/>
      <c r="Z208" s="5"/>
    </row>
    <row r="209" ht="15.0" customHeight="1">
      <c r="A209" s="5"/>
      <c r="B209" s="72"/>
      <c r="C209" s="74"/>
      <c r="D209" s="74"/>
      <c r="E209" s="74"/>
      <c r="F209" s="74"/>
      <c r="G209" s="74"/>
      <c r="H209" s="74"/>
      <c r="I209" s="74"/>
      <c r="J209" s="76"/>
      <c r="K209" s="74"/>
      <c r="L209" s="166"/>
      <c r="M209" s="5"/>
      <c r="N209" s="5"/>
      <c r="O209" s="5"/>
      <c r="P209" s="5"/>
      <c r="Q209" s="5"/>
      <c r="R209" s="5"/>
      <c r="S209" s="5"/>
      <c r="T209" s="5"/>
      <c r="U209" s="5"/>
      <c r="V209" s="5"/>
      <c r="W209" s="5"/>
      <c r="X209" s="5"/>
      <c r="Y209" s="5"/>
      <c r="Z209" s="5"/>
    </row>
    <row r="210" ht="15.0" customHeight="1">
      <c r="A210" s="5"/>
      <c r="B210" s="72"/>
      <c r="C210" s="74"/>
      <c r="D210" s="74"/>
      <c r="E210" s="74"/>
      <c r="F210" s="74"/>
      <c r="G210" s="74"/>
      <c r="H210" s="74"/>
      <c r="I210" s="74"/>
      <c r="J210" s="76"/>
      <c r="K210" s="74"/>
      <c r="L210" s="166"/>
      <c r="M210" s="5"/>
      <c r="N210" s="5"/>
      <c r="O210" s="5"/>
      <c r="P210" s="5"/>
      <c r="Q210" s="5"/>
      <c r="R210" s="5"/>
      <c r="S210" s="5"/>
      <c r="T210" s="5"/>
      <c r="U210" s="5"/>
      <c r="V210" s="5"/>
      <c r="W210" s="5"/>
      <c r="X210" s="5"/>
      <c r="Y210" s="5"/>
      <c r="Z210" s="5"/>
    </row>
    <row r="211" ht="15.0" customHeight="1">
      <c r="A211" s="5"/>
      <c r="B211" s="72"/>
      <c r="C211" s="74"/>
      <c r="D211" s="74"/>
      <c r="E211" s="74"/>
      <c r="F211" s="74"/>
      <c r="G211" s="74"/>
      <c r="H211" s="74"/>
      <c r="I211" s="74"/>
      <c r="J211" s="76"/>
      <c r="K211" s="74"/>
      <c r="L211" s="166"/>
      <c r="M211" s="5"/>
      <c r="N211" s="5"/>
      <c r="O211" s="5"/>
      <c r="P211" s="5"/>
      <c r="Q211" s="5"/>
      <c r="R211" s="5"/>
      <c r="S211" s="5"/>
      <c r="T211" s="5"/>
      <c r="U211" s="5"/>
      <c r="V211" s="5"/>
      <c r="W211" s="5"/>
      <c r="X211" s="5"/>
      <c r="Y211" s="5"/>
      <c r="Z211" s="5"/>
    </row>
    <row r="212" ht="15.0" customHeight="1">
      <c r="A212" s="5"/>
      <c r="B212" s="72"/>
      <c r="C212" s="74"/>
      <c r="D212" s="74"/>
      <c r="E212" s="74"/>
      <c r="F212" s="74"/>
      <c r="G212" s="74"/>
      <c r="H212" s="74"/>
      <c r="I212" s="74"/>
      <c r="J212" s="76"/>
      <c r="K212" s="74"/>
      <c r="L212" s="166"/>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9.5" customHeight="1">
      <c r="A214" s="5"/>
      <c r="B214" s="159" t="str">
        <f>"③  " &amp; "63F00516" &amp; "   —   " &amp; SUMPRODUCT((ISNUMBER($B$216:$B$224))*N($C$216:$C$224)) &amp; " vỏ · " &amp; TEXT(SUM($J$216:$J$224),"#,##0") &amp; "đ" &amp; IF(SUMIF($K$216:$K$224,"Chưa thanh toán",$J$216:$J$224)&gt;0," · còn nợ "&amp;TEXT(SUMIF($K$216:$K$224,"Chưa thanh toán",$J$216:$J$224),"#,##0")&amp;"đ","")</f>
        <v>③  63F00516   —   2 vỏ · 11.600.000đ</v>
      </c>
      <c r="C214" s="2"/>
      <c r="D214" s="2"/>
      <c r="E214" s="2"/>
      <c r="F214" s="2"/>
      <c r="G214" s="2"/>
      <c r="H214" s="2"/>
      <c r="I214" s="2"/>
      <c r="J214" s="2"/>
      <c r="K214" s="2"/>
      <c r="L214" s="4"/>
      <c r="M214" s="5"/>
      <c r="N214" s="5"/>
      <c r="O214" s="5"/>
      <c r="P214" s="5"/>
      <c r="Q214" s="5"/>
      <c r="R214" s="5"/>
      <c r="S214" s="5"/>
      <c r="T214" s="5"/>
      <c r="U214" s="5"/>
      <c r="V214" s="5"/>
      <c r="W214" s="5"/>
      <c r="X214" s="5"/>
      <c r="Y214" s="5"/>
      <c r="Z214" s="5"/>
    </row>
    <row r="215" ht="25.5" customHeight="1">
      <c r="A215" s="5"/>
      <c r="B215" s="40" t="s">
        <v>127</v>
      </c>
      <c r="C215" s="40" t="s">
        <v>177</v>
      </c>
      <c r="D215" s="40" t="s">
        <v>178</v>
      </c>
      <c r="E215" s="40" t="s">
        <v>179</v>
      </c>
      <c r="F215" s="40" t="s">
        <v>180</v>
      </c>
      <c r="G215" s="40" t="s">
        <v>181</v>
      </c>
      <c r="H215" s="40" t="s">
        <v>182</v>
      </c>
      <c r="I215" s="40" t="s">
        <v>48</v>
      </c>
      <c r="J215" s="40" t="s">
        <v>49</v>
      </c>
      <c r="K215" s="40" t="s">
        <v>50</v>
      </c>
      <c r="L215" s="40" t="s">
        <v>19</v>
      </c>
      <c r="M215" s="5"/>
      <c r="N215" s="5"/>
      <c r="O215" s="5"/>
      <c r="P215" s="5"/>
      <c r="Q215" s="5"/>
      <c r="R215" s="5"/>
      <c r="S215" s="5"/>
      <c r="T215" s="5"/>
      <c r="U215" s="5"/>
      <c r="V215" s="5"/>
      <c r="W215" s="5"/>
      <c r="X215" s="5"/>
      <c r="Y215" s="5"/>
      <c r="Z215" s="5"/>
    </row>
    <row r="216" ht="15.0" customHeight="1">
      <c r="A216" s="5"/>
      <c r="B216" s="52">
        <v>46163.0</v>
      </c>
      <c r="C216" s="54">
        <v>2.0</v>
      </c>
      <c r="D216" s="54"/>
      <c r="E216" s="54"/>
      <c r="F216" s="54"/>
      <c r="G216" s="54" t="s">
        <v>186</v>
      </c>
      <c r="H216" s="54"/>
      <c r="I216" s="54" t="s">
        <v>267</v>
      </c>
      <c r="J216" s="55">
        <v>1.16E7</v>
      </c>
      <c r="K216" s="54" t="s">
        <v>53</v>
      </c>
      <c r="L216" s="160" t="s">
        <v>268</v>
      </c>
      <c r="M216" s="5"/>
      <c r="N216" s="5"/>
      <c r="O216" s="5"/>
      <c r="P216" s="5"/>
      <c r="Q216" s="5"/>
      <c r="R216" s="5"/>
      <c r="S216" s="5"/>
      <c r="T216" s="5"/>
      <c r="U216" s="5"/>
      <c r="V216" s="5"/>
      <c r="W216" s="5"/>
      <c r="X216" s="5"/>
      <c r="Y216" s="5"/>
      <c r="Z216" s="5"/>
    </row>
    <row r="217" ht="15.0" customHeight="1">
      <c r="A217" s="5"/>
      <c r="B217" s="59"/>
      <c r="C217" s="63"/>
      <c r="D217" s="63"/>
      <c r="E217" s="63"/>
      <c r="F217" s="63"/>
      <c r="G217" s="63"/>
      <c r="H217" s="63"/>
      <c r="I217" s="63"/>
      <c r="J217" s="65"/>
      <c r="K217" s="63"/>
      <c r="L217" s="161"/>
      <c r="M217" s="5"/>
      <c r="N217" s="5"/>
      <c r="O217" s="5"/>
      <c r="P217" s="5"/>
      <c r="Q217" s="5"/>
      <c r="R217" s="5"/>
      <c r="S217" s="5"/>
      <c r="T217" s="5"/>
      <c r="U217" s="5"/>
      <c r="V217" s="5"/>
      <c r="W217" s="5"/>
      <c r="X217" s="5"/>
      <c r="Y217" s="5"/>
      <c r="Z217" s="5"/>
    </row>
    <row r="218" ht="15.0" customHeight="1">
      <c r="A218" s="5"/>
      <c r="B218" s="59"/>
      <c r="C218" s="63"/>
      <c r="D218" s="63"/>
      <c r="E218" s="63"/>
      <c r="F218" s="63"/>
      <c r="G218" s="63"/>
      <c r="H218" s="63"/>
      <c r="I218" s="63"/>
      <c r="J218" s="65"/>
      <c r="K218" s="63"/>
      <c r="L218" s="161"/>
      <c r="M218" s="5"/>
      <c r="N218" s="5"/>
      <c r="O218" s="5"/>
      <c r="P218" s="5"/>
      <c r="Q218" s="5"/>
      <c r="R218" s="5"/>
      <c r="S218" s="5"/>
      <c r="T218" s="5"/>
      <c r="U218" s="5"/>
      <c r="V218" s="5"/>
      <c r="W218" s="5"/>
      <c r="X218" s="5"/>
      <c r="Y218" s="5"/>
      <c r="Z218" s="5"/>
    </row>
    <row r="219" ht="15.0" customHeight="1">
      <c r="A219" s="5"/>
      <c r="B219" s="59"/>
      <c r="C219" s="63"/>
      <c r="D219" s="63"/>
      <c r="E219" s="63"/>
      <c r="F219" s="63"/>
      <c r="G219" s="63"/>
      <c r="H219" s="63"/>
      <c r="I219" s="63"/>
      <c r="J219" s="65"/>
      <c r="K219" s="63"/>
      <c r="L219" s="161"/>
      <c r="M219" s="5"/>
      <c r="N219" s="5"/>
      <c r="O219" s="5"/>
      <c r="P219" s="5"/>
      <c r="Q219" s="5"/>
      <c r="R219" s="5"/>
      <c r="S219" s="5"/>
      <c r="T219" s="5"/>
      <c r="U219" s="5"/>
      <c r="V219" s="5"/>
      <c r="W219" s="5"/>
      <c r="X219" s="5"/>
      <c r="Y219" s="5"/>
      <c r="Z219" s="5"/>
    </row>
    <row r="220" ht="15.0" customHeight="1">
      <c r="A220" s="5"/>
      <c r="B220" s="59"/>
      <c r="C220" s="63"/>
      <c r="D220" s="63"/>
      <c r="E220" s="63"/>
      <c r="F220" s="63"/>
      <c r="G220" s="63"/>
      <c r="H220" s="63"/>
      <c r="I220" s="63"/>
      <c r="J220" s="65"/>
      <c r="K220" s="63"/>
      <c r="L220" s="161"/>
      <c r="M220" s="5"/>
      <c r="N220" s="5"/>
      <c r="O220" s="5"/>
      <c r="P220" s="5"/>
      <c r="Q220" s="5"/>
      <c r="R220" s="5"/>
      <c r="S220" s="5"/>
      <c r="T220" s="5"/>
      <c r="U220" s="5"/>
      <c r="V220" s="5"/>
      <c r="W220" s="5"/>
      <c r="X220" s="5"/>
      <c r="Y220" s="5"/>
      <c r="Z220" s="5"/>
    </row>
    <row r="221" ht="15.0" customHeight="1">
      <c r="A221" s="5"/>
      <c r="B221" s="59"/>
      <c r="C221" s="63"/>
      <c r="D221" s="63"/>
      <c r="E221" s="63"/>
      <c r="F221" s="63"/>
      <c r="G221" s="63"/>
      <c r="H221" s="63"/>
      <c r="I221" s="63"/>
      <c r="J221" s="65"/>
      <c r="K221" s="63"/>
      <c r="L221" s="161"/>
      <c r="M221" s="5"/>
      <c r="N221" s="5"/>
      <c r="O221" s="5"/>
      <c r="P221" s="5"/>
      <c r="Q221" s="5"/>
      <c r="R221" s="5"/>
      <c r="S221" s="5"/>
      <c r="T221" s="5"/>
      <c r="U221" s="5"/>
      <c r="V221" s="5"/>
      <c r="W221" s="5"/>
      <c r="X221" s="5"/>
      <c r="Y221" s="5"/>
      <c r="Z221" s="5"/>
    </row>
    <row r="222" ht="15.0" customHeight="1">
      <c r="A222" s="5"/>
      <c r="B222" s="59"/>
      <c r="C222" s="63"/>
      <c r="D222" s="63"/>
      <c r="E222" s="63"/>
      <c r="F222" s="63"/>
      <c r="G222" s="63"/>
      <c r="H222" s="63"/>
      <c r="I222" s="63"/>
      <c r="J222" s="65"/>
      <c r="K222" s="63"/>
      <c r="L222" s="161"/>
      <c r="M222" s="5"/>
      <c r="N222" s="5"/>
      <c r="O222" s="5"/>
      <c r="P222" s="5"/>
      <c r="Q222" s="5"/>
      <c r="R222" s="5"/>
      <c r="S222" s="5"/>
      <c r="T222" s="5"/>
      <c r="U222" s="5"/>
      <c r="V222" s="5"/>
      <c r="W222" s="5"/>
      <c r="X222" s="5"/>
      <c r="Y222" s="5"/>
      <c r="Z222" s="5"/>
    </row>
    <row r="223" ht="15.0" customHeight="1">
      <c r="A223" s="5"/>
      <c r="B223" s="59"/>
      <c r="C223" s="63"/>
      <c r="D223" s="63"/>
      <c r="E223" s="63"/>
      <c r="F223" s="63"/>
      <c r="G223" s="63"/>
      <c r="H223" s="63"/>
      <c r="I223" s="63"/>
      <c r="J223" s="65"/>
      <c r="K223" s="63"/>
      <c r="L223" s="161"/>
      <c r="M223" s="5"/>
      <c r="N223" s="5"/>
      <c r="O223" s="5"/>
      <c r="P223" s="5"/>
      <c r="Q223" s="5"/>
      <c r="R223" s="5"/>
      <c r="S223" s="5"/>
      <c r="T223" s="5"/>
      <c r="U223" s="5"/>
      <c r="V223" s="5"/>
      <c r="W223" s="5"/>
      <c r="X223" s="5"/>
      <c r="Y223" s="5"/>
      <c r="Z223" s="5"/>
    </row>
    <row r="224" ht="15.0" customHeight="1">
      <c r="A224" s="5"/>
      <c r="B224" s="59"/>
      <c r="C224" s="63"/>
      <c r="D224" s="63"/>
      <c r="E224" s="63"/>
      <c r="F224" s="63"/>
      <c r="G224" s="63"/>
      <c r="H224" s="63"/>
      <c r="I224" s="63"/>
      <c r="J224" s="65"/>
      <c r="K224" s="63"/>
      <c r="L224" s="161"/>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9.5" customHeight="1">
      <c r="A226" s="5"/>
      <c r="B226" s="159" t="str">
        <f>"③  " &amp; "63E01276" &amp; "   —   " &amp; SUMPRODUCT((ISNUMBER($B$228:$B$236))*N($C$228:$C$236)) &amp; " vỏ · " &amp; TEXT(SUM($J$228:$J$236),"#,##0") &amp; "đ" &amp; IF(SUMIF($K$228:$K$236,"Chưa thanh toán",$J$228:$J$236)&gt;0," · còn nợ "&amp;TEXT(SUMIF($K$228:$K$236,"Chưa thanh toán",$J$228:$J$236),"#,##0")&amp;"đ","")</f>
        <v>③  63E01276   —   0 vỏ · 0đ</v>
      </c>
      <c r="C226" s="2"/>
      <c r="D226" s="2"/>
      <c r="E226" s="2"/>
      <c r="F226" s="2"/>
      <c r="G226" s="2"/>
      <c r="H226" s="2"/>
      <c r="I226" s="2"/>
      <c r="J226" s="2"/>
      <c r="K226" s="2"/>
      <c r="L226" s="4"/>
      <c r="M226" s="5"/>
      <c r="N226" s="5"/>
      <c r="O226" s="5"/>
      <c r="P226" s="5"/>
      <c r="Q226" s="5"/>
      <c r="R226" s="5"/>
      <c r="S226" s="5"/>
      <c r="T226" s="5"/>
      <c r="U226" s="5"/>
      <c r="V226" s="5"/>
      <c r="W226" s="5"/>
      <c r="X226" s="5"/>
      <c r="Y226" s="5"/>
      <c r="Z226" s="5"/>
    </row>
    <row r="227" ht="25.5" customHeight="1">
      <c r="A227" s="5"/>
      <c r="B227" s="70" t="s">
        <v>127</v>
      </c>
      <c r="C227" s="70" t="s">
        <v>177</v>
      </c>
      <c r="D227" s="70" t="s">
        <v>178</v>
      </c>
      <c r="E227" s="70" t="s">
        <v>179</v>
      </c>
      <c r="F227" s="70" t="s">
        <v>180</v>
      </c>
      <c r="G227" s="70" t="s">
        <v>181</v>
      </c>
      <c r="H227" s="70" t="s">
        <v>182</v>
      </c>
      <c r="I227" s="70" t="s">
        <v>48</v>
      </c>
      <c r="J227" s="70" t="s">
        <v>49</v>
      </c>
      <c r="K227" s="70" t="s">
        <v>50</v>
      </c>
      <c r="L227" s="70" t="s">
        <v>19</v>
      </c>
      <c r="M227" s="5"/>
      <c r="N227" s="5"/>
      <c r="O227" s="5"/>
      <c r="P227" s="5"/>
      <c r="Q227" s="5"/>
      <c r="R227" s="5"/>
      <c r="S227" s="5"/>
      <c r="T227" s="5"/>
      <c r="U227" s="5"/>
      <c r="V227" s="5"/>
      <c r="W227" s="5"/>
      <c r="X227" s="5"/>
      <c r="Y227" s="5"/>
      <c r="Z227" s="5"/>
    </row>
    <row r="228" ht="15.0" customHeight="1">
      <c r="A228" s="5"/>
      <c r="B228" s="72"/>
      <c r="C228" s="74"/>
      <c r="D228" s="74"/>
      <c r="E228" s="74"/>
      <c r="F228" s="74"/>
      <c r="G228" s="74"/>
      <c r="H228" s="74"/>
      <c r="I228" s="74"/>
      <c r="J228" s="76"/>
      <c r="K228" s="74"/>
      <c r="L228" s="166"/>
      <c r="M228" s="5"/>
      <c r="N228" s="5"/>
      <c r="O228" s="5"/>
      <c r="P228" s="5"/>
      <c r="Q228" s="5"/>
      <c r="R228" s="5"/>
      <c r="S228" s="5"/>
      <c r="T228" s="5"/>
      <c r="U228" s="5"/>
      <c r="V228" s="5"/>
      <c r="W228" s="5"/>
      <c r="X228" s="5"/>
      <c r="Y228" s="5"/>
      <c r="Z228" s="5"/>
    </row>
    <row r="229" ht="15.0" customHeight="1">
      <c r="A229" s="5"/>
      <c r="B229" s="72"/>
      <c r="C229" s="74"/>
      <c r="D229" s="74"/>
      <c r="E229" s="74"/>
      <c r="F229" s="74"/>
      <c r="G229" s="74"/>
      <c r="H229" s="74"/>
      <c r="I229" s="74"/>
      <c r="J229" s="76"/>
      <c r="K229" s="74"/>
      <c r="L229" s="166"/>
      <c r="M229" s="5"/>
      <c r="N229" s="5"/>
      <c r="O229" s="5"/>
      <c r="P229" s="5"/>
      <c r="Q229" s="5"/>
      <c r="R229" s="5"/>
      <c r="S229" s="5"/>
      <c r="T229" s="5"/>
      <c r="U229" s="5"/>
      <c r="V229" s="5"/>
      <c r="W229" s="5"/>
      <c r="X229" s="5"/>
      <c r="Y229" s="5"/>
      <c r="Z229" s="5"/>
    </row>
    <row r="230" ht="15.0" customHeight="1">
      <c r="A230" s="5"/>
      <c r="B230" s="72"/>
      <c r="C230" s="74"/>
      <c r="D230" s="74"/>
      <c r="E230" s="74"/>
      <c r="F230" s="74"/>
      <c r="G230" s="74"/>
      <c r="H230" s="74"/>
      <c r="I230" s="74"/>
      <c r="J230" s="76"/>
      <c r="K230" s="74"/>
      <c r="L230" s="166"/>
      <c r="M230" s="5"/>
      <c r="N230" s="5"/>
      <c r="O230" s="5"/>
      <c r="P230" s="5"/>
      <c r="Q230" s="5"/>
      <c r="R230" s="5"/>
      <c r="S230" s="5"/>
      <c r="T230" s="5"/>
      <c r="U230" s="5"/>
      <c r="V230" s="5"/>
      <c r="W230" s="5"/>
      <c r="X230" s="5"/>
      <c r="Y230" s="5"/>
      <c r="Z230" s="5"/>
    </row>
    <row r="231" ht="15.0" customHeight="1">
      <c r="A231" s="5"/>
      <c r="B231" s="72"/>
      <c r="C231" s="74"/>
      <c r="D231" s="74"/>
      <c r="E231" s="74"/>
      <c r="F231" s="74"/>
      <c r="G231" s="74"/>
      <c r="H231" s="74"/>
      <c r="I231" s="74"/>
      <c r="J231" s="76"/>
      <c r="K231" s="74"/>
      <c r="L231" s="166"/>
      <c r="M231" s="5"/>
      <c r="N231" s="5"/>
      <c r="O231" s="5"/>
      <c r="P231" s="5"/>
      <c r="Q231" s="5"/>
      <c r="R231" s="5"/>
      <c r="S231" s="5"/>
      <c r="T231" s="5"/>
      <c r="U231" s="5"/>
      <c r="V231" s="5"/>
      <c r="W231" s="5"/>
      <c r="X231" s="5"/>
      <c r="Y231" s="5"/>
      <c r="Z231" s="5"/>
    </row>
    <row r="232" ht="15.0" customHeight="1">
      <c r="A232" s="5"/>
      <c r="B232" s="72"/>
      <c r="C232" s="74"/>
      <c r="D232" s="74"/>
      <c r="E232" s="74"/>
      <c r="F232" s="74"/>
      <c r="G232" s="74"/>
      <c r="H232" s="74"/>
      <c r="I232" s="74"/>
      <c r="J232" s="76"/>
      <c r="K232" s="74"/>
      <c r="L232" s="166"/>
      <c r="M232" s="5"/>
      <c r="N232" s="5"/>
      <c r="O232" s="5"/>
      <c r="P232" s="5"/>
      <c r="Q232" s="5"/>
      <c r="R232" s="5"/>
      <c r="S232" s="5"/>
      <c r="T232" s="5"/>
      <c r="U232" s="5"/>
      <c r="V232" s="5"/>
      <c r="W232" s="5"/>
      <c r="X232" s="5"/>
      <c r="Y232" s="5"/>
      <c r="Z232" s="5"/>
    </row>
    <row r="233" ht="15.0" customHeight="1">
      <c r="A233" s="5"/>
      <c r="B233" s="72"/>
      <c r="C233" s="74"/>
      <c r="D233" s="74"/>
      <c r="E233" s="74"/>
      <c r="F233" s="74"/>
      <c r="G233" s="74"/>
      <c r="H233" s="74"/>
      <c r="I233" s="74"/>
      <c r="J233" s="76"/>
      <c r="K233" s="74"/>
      <c r="L233" s="166"/>
      <c r="M233" s="5"/>
      <c r="N233" s="5"/>
      <c r="O233" s="5"/>
      <c r="P233" s="5"/>
      <c r="Q233" s="5"/>
      <c r="R233" s="5"/>
      <c r="S233" s="5"/>
      <c r="T233" s="5"/>
      <c r="U233" s="5"/>
      <c r="V233" s="5"/>
      <c r="W233" s="5"/>
      <c r="X233" s="5"/>
      <c r="Y233" s="5"/>
      <c r="Z233" s="5"/>
    </row>
    <row r="234" ht="15.0" customHeight="1">
      <c r="A234" s="5"/>
      <c r="B234" s="72"/>
      <c r="C234" s="74"/>
      <c r="D234" s="74"/>
      <c r="E234" s="74"/>
      <c r="F234" s="74"/>
      <c r="G234" s="74"/>
      <c r="H234" s="74"/>
      <c r="I234" s="74"/>
      <c r="J234" s="76"/>
      <c r="K234" s="74"/>
      <c r="L234" s="166"/>
      <c r="M234" s="5"/>
      <c r="N234" s="5"/>
      <c r="O234" s="5"/>
      <c r="P234" s="5"/>
      <c r="Q234" s="5"/>
      <c r="R234" s="5"/>
      <c r="S234" s="5"/>
      <c r="T234" s="5"/>
      <c r="U234" s="5"/>
      <c r="V234" s="5"/>
      <c r="W234" s="5"/>
      <c r="X234" s="5"/>
      <c r="Y234" s="5"/>
      <c r="Z234" s="5"/>
    </row>
    <row r="235" ht="15.0" customHeight="1">
      <c r="A235" s="5"/>
      <c r="B235" s="72"/>
      <c r="C235" s="74"/>
      <c r="D235" s="74"/>
      <c r="E235" s="74"/>
      <c r="F235" s="74"/>
      <c r="G235" s="74"/>
      <c r="H235" s="74"/>
      <c r="I235" s="74"/>
      <c r="J235" s="76"/>
      <c r="K235" s="74"/>
      <c r="L235" s="166"/>
      <c r="M235" s="5"/>
      <c r="N235" s="5"/>
      <c r="O235" s="5"/>
      <c r="P235" s="5"/>
      <c r="Q235" s="5"/>
      <c r="R235" s="5"/>
      <c r="S235" s="5"/>
      <c r="T235" s="5"/>
      <c r="U235" s="5"/>
      <c r="V235" s="5"/>
      <c r="W235" s="5"/>
      <c r="X235" s="5"/>
      <c r="Y235" s="5"/>
      <c r="Z235" s="5"/>
    </row>
    <row r="236" ht="15.0" customHeight="1">
      <c r="A236" s="5"/>
      <c r="B236" s="72"/>
      <c r="C236" s="74"/>
      <c r="D236" s="74"/>
      <c r="E236" s="74"/>
      <c r="F236" s="74"/>
      <c r="G236" s="74"/>
      <c r="H236" s="74"/>
      <c r="I236" s="74"/>
      <c r="J236" s="76"/>
      <c r="K236" s="74"/>
      <c r="L236" s="166"/>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9.5" customHeight="1">
      <c r="A238" s="5"/>
      <c r="B238" s="159" t="str">
        <f>"③  " &amp; "63E01118" &amp; "   —   " &amp; SUMPRODUCT((ISNUMBER($B$240:$B$248))*N($C$240:$C$248)) &amp; " vỏ · " &amp; TEXT(SUM($J$240:$J$248),"#,##0") &amp; "đ" &amp; IF(SUMIF($K$240:$K$248,"Chưa thanh toán",$J$240:$J$248)&gt;0," · còn nợ "&amp;TEXT(SUMIF($K$240:$K$248,"Chưa thanh toán",$J$240:$J$248),"#,##0")&amp;"đ","")</f>
        <v>③  63E01118   —   0 vỏ · 0đ</v>
      </c>
      <c r="C238" s="2"/>
      <c r="D238" s="2"/>
      <c r="E238" s="2"/>
      <c r="F238" s="2"/>
      <c r="G238" s="2"/>
      <c r="H238" s="2"/>
      <c r="I238" s="2"/>
      <c r="J238" s="2"/>
      <c r="K238" s="2"/>
      <c r="L238" s="4"/>
      <c r="M238" s="5"/>
      <c r="N238" s="5"/>
      <c r="O238" s="5"/>
      <c r="P238" s="5"/>
      <c r="Q238" s="5"/>
      <c r="R238" s="5"/>
      <c r="S238" s="5"/>
      <c r="T238" s="5"/>
      <c r="U238" s="5"/>
      <c r="V238" s="5"/>
      <c r="W238" s="5"/>
      <c r="X238" s="5"/>
      <c r="Y238" s="5"/>
      <c r="Z238" s="5"/>
    </row>
    <row r="239" ht="25.5" customHeight="1">
      <c r="A239" s="5"/>
      <c r="B239" s="40" t="s">
        <v>127</v>
      </c>
      <c r="C239" s="40" t="s">
        <v>177</v>
      </c>
      <c r="D239" s="40" t="s">
        <v>178</v>
      </c>
      <c r="E239" s="40" t="s">
        <v>179</v>
      </c>
      <c r="F239" s="40" t="s">
        <v>180</v>
      </c>
      <c r="G239" s="40" t="s">
        <v>181</v>
      </c>
      <c r="H239" s="40" t="s">
        <v>182</v>
      </c>
      <c r="I239" s="40" t="s">
        <v>48</v>
      </c>
      <c r="J239" s="40" t="s">
        <v>49</v>
      </c>
      <c r="K239" s="40" t="s">
        <v>50</v>
      </c>
      <c r="L239" s="40" t="s">
        <v>19</v>
      </c>
      <c r="M239" s="5"/>
      <c r="N239" s="5"/>
      <c r="O239" s="5"/>
      <c r="P239" s="5"/>
      <c r="Q239" s="5"/>
      <c r="R239" s="5"/>
      <c r="S239" s="5"/>
      <c r="T239" s="5"/>
      <c r="U239" s="5"/>
      <c r="V239" s="5"/>
      <c r="W239" s="5"/>
      <c r="X239" s="5"/>
      <c r="Y239" s="5"/>
      <c r="Z239" s="5"/>
    </row>
    <row r="240" ht="15.0" customHeight="1">
      <c r="A240" s="5"/>
      <c r="B240" s="59"/>
      <c r="C240" s="63"/>
      <c r="D240" s="63"/>
      <c r="E240" s="63"/>
      <c r="F240" s="63"/>
      <c r="G240" s="63"/>
      <c r="H240" s="63"/>
      <c r="I240" s="63"/>
      <c r="J240" s="65"/>
      <c r="K240" s="63"/>
      <c r="L240" s="161"/>
      <c r="M240" s="5"/>
      <c r="N240" s="5"/>
      <c r="O240" s="5"/>
      <c r="P240" s="5"/>
      <c r="Q240" s="5"/>
      <c r="R240" s="5"/>
      <c r="S240" s="5"/>
      <c r="T240" s="5"/>
      <c r="U240" s="5"/>
      <c r="V240" s="5"/>
      <c r="W240" s="5"/>
      <c r="X240" s="5"/>
      <c r="Y240" s="5"/>
      <c r="Z240" s="5"/>
    </row>
    <row r="241" ht="15.0" customHeight="1">
      <c r="A241" s="5"/>
      <c r="B241" s="59"/>
      <c r="C241" s="63"/>
      <c r="D241" s="63"/>
      <c r="E241" s="63"/>
      <c r="F241" s="63"/>
      <c r="G241" s="63"/>
      <c r="H241" s="63"/>
      <c r="I241" s="63"/>
      <c r="J241" s="65"/>
      <c r="K241" s="63"/>
      <c r="L241" s="161"/>
      <c r="M241" s="5"/>
      <c r="N241" s="5"/>
      <c r="O241" s="5"/>
      <c r="P241" s="5"/>
      <c r="Q241" s="5"/>
      <c r="R241" s="5"/>
      <c r="S241" s="5"/>
      <c r="T241" s="5"/>
      <c r="U241" s="5"/>
      <c r="V241" s="5"/>
      <c r="W241" s="5"/>
      <c r="X241" s="5"/>
      <c r="Y241" s="5"/>
      <c r="Z241" s="5"/>
    </row>
    <row r="242" ht="15.0" customHeight="1">
      <c r="A242" s="5"/>
      <c r="B242" s="59"/>
      <c r="C242" s="63"/>
      <c r="D242" s="63"/>
      <c r="E242" s="63"/>
      <c r="F242" s="63"/>
      <c r="G242" s="63"/>
      <c r="H242" s="63"/>
      <c r="I242" s="63"/>
      <c r="J242" s="65"/>
      <c r="K242" s="63"/>
      <c r="L242" s="161"/>
      <c r="M242" s="5"/>
      <c r="N242" s="5"/>
      <c r="O242" s="5"/>
      <c r="P242" s="5"/>
      <c r="Q242" s="5"/>
      <c r="R242" s="5"/>
      <c r="S242" s="5"/>
      <c r="T242" s="5"/>
      <c r="U242" s="5"/>
      <c r="V242" s="5"/>
      <c r="W242" s="5"/>
      <c r="X242" s="5"/>
      <c r="Y242" s="5"/>
      <c r="Z242" s="5"/>
    </row>
    <row r="243" ht="15.0" customHeight="1">
      <c r="A243" s="5"/>
      <c r="B243" s="59"/>
      <c r="C243" s="63"/>
      <c r="D243" s="63"/>
      <c r="E243" s="63"/>
      <c r="F243" s="63"/>
      <c r="G243" s="63"/>
      <c r="H243" s="63"/>
      <c r="I243" s="63"/>
      <c r="J243" s="65"/>
      <c r="K243" s="63"/>
      <c r="L243" s="161"/>
      <c r="M243" s="5"/>
      <c r="N243" s="5"/>
      <c r="O243" s="5"/>
      <c r="P243" s="5"/>
      <c r="Q243" s="5"/>
      <c r="R243" s="5"/>
      <c r="S243" s="5"/>
      <c r="T243" s="5"/>
      <c r="U243" s="5"/>
      <c r="V243" s="5"/>
      <c r="W243" s="5"/>
      <c r="X243" s="5"/>
      <c r="Y243" s="5"/>
      <c r="Z243" s="5"/>
    </row>
    <row r="244" ht="15.0" customHeight="1">
      <c r="A244" s="5"/>
      <c r="B244" s="59"/>
      <c r="C244" s="63"/>
      <c r="D244" s="63"/>
      <c r="E244" s="63"/>
      <c r="F244" s="63"/>
      <c r="G244" s="63"/>
      <c r="H244" s="63"/>
      <c r="I244" s="63"/>
      <c r="J244" s="65"/>
      <c r="K244" s="63"/>
      <c r="L244" s="161"/>
      <c r="M244" s="5"/>
      <c r="N244" s="5"/>
      <c r="O244" s="5"/>
      <c r="P244" s="5"/>
      <c r="Q244" s="5"/>
      <c r="R244" s="5"/>
      <c r="S244" s="5"/>
      <c r="T244" s="5"/>
      <c r="U244" s="5"/>
      <c r="V244" s="5"/>
      <c r="W244" s="5"/>
      <c r="X244" s="5"/>
      <c r="Y244" s="5"/>
      <c r="Z244" s="5"/>
    </row>
    <row r="245" ht="15.0" customHeight="1">
      <c r="A245" s="5"/>
      <c r="B245" s="59"/>
      <c r="C245" s="63"/>
      <c r="D245" s="63"/>
      <c r="E245" s="63"/>
      <c r="F245" s="63"/>
      <c r="G245" s="63"/>
      <c r="H245" s="63"/>
      <c r="I245" s="63"/>
      <c r="J245" s="65"/>
      <c r="K245" s="63"/>
      <c r="L245" s="161"/>
      <c r="M245" s="5"/>
      <c r="N245" s="5"/>
      <c r="O245" s="5"/>
      <c r="P245" s="5"/>
      <c r="Q245" s="5"/>
      <c r="R245" s="5"/>
      <c r="S245" s="5"/>
      <c r="T245" s="5"/>
      <c r="U245" s="5"/>
      <c r="V245" s="5"/>
      <c r="W245" s="5"/>
      <c r="X245" s="5"/>
      <c r="Y245" s="5"/>
      <c r="Z245" s="5"/>
    </row>
    <row r="246" ht="15.0" customHeight="1">
      <c r="A246" s="5"/>
      <c r="B246" s="59"/>
      <c r="C246" s="63"/>
      <c r="D246" s="63"/>
      <c r="E246" s="63"/>
      <c r="F246" s="63"/>
      <c r="G246" s="63"/>
      <c r="H246" s="63"/>
      <c r="I246" s="63"/>
      <c r="J246" s="65"/>
      <c r="K246" s="63"/>
      <c r="L246" s="161"/>
      <c r="M246" s="5"/>
      <c r="N246" s="5"/>
      <c r="O246" s="5"/>
      <c r="P246" s="5"/>
      <c r="Q246" s="5"/>
      <c r="R246" s="5"/>
      <c r="S246" s="5"/>
      <c r="T246" s="5"/>
      <c r="U246" s="5"/>
      <c r="V246" s="5"/>
      <c r="W246" s="5"/>
      <c r="X246" s="5"/>
      <c r="Y246" s="5"/>
      <c r="Z246" s="5"/>
    </row>
    <row r="247" ht="15.0" customHeight="1">
      <c r="A247" s="5"/>
      <c r="B247" s="59"/>
      <c r="C247" s="63"/>
      <c r="D247" s="63"/>
      <c r="E247" s="63"/>
      <c r="F247" s="63"/>
      <c r="G247" s="63"/>
      <c r="H247" s="63"/>
      <c r="I247" s="63"/>
      <c r="J247" s="65"/>
      <c r="K247" s="63"/>
      <c r="L247" s="161"/>
      <c r="M247" s="5"/>
      <c r="N247" s="5"/>
      <c r="O247" s="5"/>
      <c r="P247" s="5"/>
      <c r="Q247" s="5"/>
      <c r="R247" s="5"/>
      <c r="S247" s="5"/>
      <c r="T247" s="5"/>
      <c r="U247" s="5"/>
      <c r="V247" s="5"/>
      <c r="W247" s="5"/>
      <c r="X247" s="5"/>
      <c r="Y247" s="5"/>
      <c r="Z247" s="5"/>
    </row>
    <row r="248" ht="15.0" customHeight="1">
      <c r="A248" s="5"/>
      <c r="B248" s="59"/>
      <c r="C248" s="63"/>
      <c r="D248" s="63"/>
      <c r="E248" s="63"/>
      <c r="F248" s="63"/>
      <c r="G248" s="63"/>
      <c r="H248" s="63"/>
      <c r="I248" s="63"/>
      <c r="J248" s="65"/>
      <c r="K248" s="63"/>
      <c r="L248" s="161"/>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9.5" customHeight="1">
      <c r="A250" s="5"/>
      <c r="B250" s="159" t="str">
        <f>"③  " &amp; "63E01103" &amp; "   —   " &amp; SUMPRODUCT((ISNUMBER($B$252:$B$260))*N($C$252:$C$260)) &amp; " vỏ · " &amp; TEXT(SUM($J$252:$J$260),"#,##0") &amp; "đ" &amp; IF(SUMIF($K$252:$K$260,"Chưa thanh toán",$J$252:$J$260)&gt;0," · còn nợ "&amp;TEXT(SUMIF($K$252:$K$260,"Chưa thanh toán",$J$252:$J$260),"#,##0")&amp;"đ","")</f>
        <v>③  63E01103   —   0 vỏ · 0đ</v>
      </c>
      <c r="C250" s="2"/>
      <c r="D250" s="2"/>
      <c r="E250" s="2"/>
      <c r="F250" s="2"/>
      <c r="G250" s="2"/>
      <c r="H250" s="2"/>
      <c r="I250" s="2"/>
      <c r="J250" s="2"/>
      <c r="K250" s="2"/>
      <c r="L250" s="4"/>
      <c r="M250" s="5"/>
      <c r="N250" s="5"/>
      <c r="O250" s="5"/>
      <c r="P250" s="5"/>
      <c r="Q250" s="5"/>
      <c r="R250" s="5"/>
      <c r="S250" s="5"/>
      <c r="T250" s="5"/>
      <c r="U250" s="5"/>
      <c r="V250" s="5"/>
      <c r="W250" s="5"/>
      <c r="X250" s="5"/>
      <c r="Y250" s="5"/>
      <c r="Z250" s="5"/>
    </row>
    <row r="251" ht="25.5" customHeight="1">
      <c r="A251" s="5"/>
      <c r="B251" s="70" t="s">
        <v>127</v>
      </c>
      <c r="C251" s="70" t="s">
        <v>177</v>
      </c>
      <c r="D251" s="70" t="s">
        <v>178</v>
      </c>
      <c r="E251" s="70" t="s">
        <v>179</v>
      </c>
      <c r="F251" s="70" t="s">
        <v>180</v>
      </c>
      <c r="G251" s="70" t="s">
        <v>181</v>
      </c>
      <c r="H251" s="70" t="s">
        <v>182</v>
      </c>
      <c r="I251" s="70" t="s">
        <v>48</v>
      </c>
      <c r="J251" s="70" t="s">
        <v>49</v>
      </c>
      <c r="K251" s="70" t="s">
        <v>50</v>
      </c>
      <c r="L251" s="70" t="s">
        <v>19</v>
      </c>
      <c r="M251" s="5"/>
      <c r="N251" s="5"/>
      <c r="O251" s="5"/>
      <c r="P251" s="5"/>
      <c r="Q251" s="5"/>
      <c r="R251" s="5"/>
      <c r="S251" s="5"/>
      <c r="T251" s="5"/>
      <c r="U251" s="5"/>
      <c r="V251" s="5"/>
      <c r="W251" s="5"/>
      <c r="X251" s="5"/>
      <c r="Y251" s="5"/>
      <c r="Z251" s="5"/>
    </row>
    <row r="252" ht="15.0" customHeight="1">
      <c r="A252" s="5"/>
      <c r="B252" s="72"/>
      <c r="C252" s="74"/>
      <c r="D252" s="74"/>
      <c r="E252" s="74"/>
      <c r="F252" s="74"/>
      <c r="G252" s="74"/>
      <c r="H252" s="74"/>
      <c r="I252" s="74"/>
      <c r="J252" s="76"/>
      <c r="K252" s="74"/>
      <c r="L252" s="166"/>
      <c r="M252" s="5"/>
      <c r="N252" s="5"/>
      <c r="O252" s="5"/>
      <c r="P252" s="5"/>
      <c r="Q252" s="5"/>
      <c r="R252" s="5"/>
      <c r="S252" s="5"/>
      <c r="T252" s="5"/>
      <c r="U252" s="5"/>
      <c r="V252" s="5"/>
      <c r="W252" s="5"/>
      <c r="X252" s="5"/>
      <c r="Y252" s="5"/>
      <c r="Z252" s="5"/>
    </row>
    <row r="253" ht="15.0" customHeight="1">
      <c r="A253" s="5"/>
      <c r="B253" s="72"/>
      <c r="C253" s="74"/>
      <c r="D253" s="74"/>
      <c r="E253" s="74"/>
      <c r="F253" s="74"/>
      <c r="G253" s="74"/>
      <c r="H253" s="74"/>
      <c r="I253" s="74"/>
      <c r="J253" s="76"/>
      <c r="K253" s="74"/>
      <c r="L253" s="166"/>
      <c r="M253" s="5"/>
      <c r="N253" s="5"/>
      <c r="O253" s="5"/>
      <c r="P253" s="5"/>
      <c r="Q253" s="5"/>
      <c r="R253" s="5"/>
      <c r="S253" s="5"/>
      <c r="T253" s="5"/>
      <c r="U253" s="5"/>
      <c r="V253" s="5"/>
      <c r="W253" s="5"/>
      <c r="X253" s="5"/>
      <c r="Y253" s="5"/>
      <c r="Z253" s="5"/>
    </row>
    <row r="254" ht="15.0" customHeight="1">
      <c r="A254" s="5"/>
      <c r="B254" s="72"/>
      <c r="C254" s="74"/>
      <c r="D254" s="74"/>
      <c r="E254" s="74"/>
      <c r="F254" s="74"/>
      <c r="G254" s="74"/>
      <c r="H254" s="74"/>
      <c r="I254" s="74"/>
      <c r="J254" s="76"/>
      <c r="K254" s="74"/>
      <c r="L254" s="166"/>
      <c r="M254" s="5"/>
      <c r="N254" s="5"/>
      <c r="O254" s="5"/>
      <c r="P254" s="5"/>
      <c r="Q254" s="5"/>
      <c r="R254" s="5"/>
      <c r="S254" s="5"/>
      <c r="T254" s="5"/>
      <c r="U254" s="5"/>
      <c r="V254" s="5"/>
      <c r="W254" s="5"/>
      <c r="X254" s="5"/>
      <c r="Y254" s="5"/>
      <c r="Z254" s="5"/>
    </row>
    <row r="255" ht="15.0" customHeight="1">
      <c r="A255" s="5"/>
      <c r="B255" s="72"/>
      <c r="C255" s="74"/>
      <c r="D255" s="74"/>
      <c r="E255" s="74"/>
      <c r="F255" s="74"/>
      <c r="G255" s="74"/>
      <c r="H255" s="74"/>
      <c r="I255" s="74"/>
      <c r="J255" s="76"/>
      <c r="K255" s="74"/>
      <c r="L255" s="166"/>
      <c r="M255" s="5"/>
      <c r="N255" s="5"/>
      <c r="O255" s="5"/>
      <c r="P255" s="5"/>
      <c r="Q255" s="5"/>
      <c r="R255" s="5"/>
      <c r="S255" s="5"/>
      <c r="T255" s="5"/>
      <c r="U255" s="5"/>
      <c r="V255" s="5"/>
      <c r="W255" s="5"/>
      <c r="X255" s="5"/>
      <c r="Y255" s="5"/>
      <c r="Z255" s="5"/>
    </row>
    <row r="256" ht="15.0" customHeight="1">
      <c r="A256" s="5"/>
      <c r="B256" s="72"/>
      <c r="C256" s="74"/>
      <c r="D256" s="74"/>
      <c r="E256" s="74"/>
      <c r="F256" s="74"/>
      <c r="G256" s="74"/>
      <c r="H256" s="74"/>
      <c r="I256" s="74"/>
      <c r="J256" s="76"/>
      <c r="K256" s="74"/>
      <c r="L256" s="166"/>
      <c r="M256" s="5"/>
      <c r="N256" s="5"/>
      <c r="O256" s="5"/>
      <c r="P256" s="5"/>
      <c r="Q256" s="5"/>
      <c r="R256" s="5"/>
      <c r="S256" s="5"/>
      <c r="T256" s="5"/>
      <c r="U256" s="5"/>
      <c r="V256" s="5"/>
      <c r="W256" s="5"/>
      <c r="X256" s="5"/>
      <c r="Y256" s="5"/>
      <c r="Z256" s="5"/>
    </row>
    <row r="257" ht="15.0" customHeight="1">
      <c r="A257" s="5"/>
      <c r="B257" s="72"/>
      <c r="C257" s="74"/>
      <c r="D257" s="74"/>
      <c r="E257" s="74"/>
      <c r="F257" s="74"/>
      <c r="G257" s="74"/>
      <c r="H257" s="74"/>
      <c r="I257" s="74"/>
      <c r="J257" s="76"/>
      <c r="K257" s="74"/>
      <c r="L257" s="166"/>
      <c r="M257" s="5"/>
      <c r="N257" s="5"/>
      <c r="O257" s="5"/>
      <c r="P257" s="5"/>
      <c r="Q257" s="5"/>
      <c r="R257" s="5"/>
      <c r="S257" s="5"/>
      <c r="T257" s="5"/>
      <c r="U257" s="5"/>
      <c r="V257" s="5"/>
      <c r="W257" s="5"/>
      <c r="X257" s="5"/>
      <c r="Y257" s="5"/>
      <c r="Z257" s="5"/>
    </row>
    <row r="258" ht="15.0" customHeight="1">
      <c r="A258" s="5"/>
      <c r="B258" s="72"/>
      <c r="C258" s="74"/>
      <c r="D258" s="74"/>
      <c r="E258" s="74"/>
      <c r="F258" s="74"/>
      <c r="G258" s="74"/>
      <c r="H258" s="74"/>
      <c r="I258" s="74"/>
      <c r="J258" s="76"/>
      <c r="K258" s="74"/>
      <c r="L258" s="166"/>
      <c r="M258" s="5"/>
      <c r="N258" s="5"/>
      <c r="O258" s="5"/>
      <c r="P258" s="5"/>
      <c r="Q258" s="5"/>
      <c r="R258" s="5"/>
      <c r="S258" s="5"/>
      <c r="T258" s="5"/>
      <c r="U258" s="5"/>
      <c r="V258" s="5"/>
      <c r="W258" s="5"/>
      <c r="X258" s="5"/>
      <c r="Y258" s="5"/>
      <c r="Z258" s="5"/>
    </row>
    <row r="259" ht="15.0" customHeight="1">
      <c r="A259" s="5"/>
      <c r="B259" s="72"/>
      <c r="C259" s="74"/>
      <c r="D259" s="74"/>
      <c r="E259" s="74"/>
      <c r="F259" s="74"/>
      <c r="G259" s="74"/>
      <c r="H259" s="74"/>
      <c r="I259" s="74"/>
      <c r="J259" s="76"/>
      <c r="K259" s="74"/>
      <c r="L259" s="166"/>
      <c r="M259" s="5"/>
      <c r="N259" s="5"/>
      <c r="O259" s="5"/>
      <c r="P259" s="5"/>
      <c r="Q259" s="5"/>
      <c r="R259" s="5"/>
      <c r="S259" s="5"/>
      <c r="T259" s="5"/>
      <c r="U259" s="5"/>
      <c r="V259" s="5"/>
      <c r="W259" s="5"/>
      <c r="X259" s="5"/>
      <c r="Y259" s="5"/>
      <c r="Z259" s="5"/>
    </row>
    <row r="260" ht="15.0" customHeight="1">
      <c r="A260" s="5"/>
      <c r="B260" s="72"/>
      <c r="C260" s="74"/>
      <c r="D260" s="74"/>
      <c r="E260" s="74"/>
      <c r="F260" s="74"/>
      <c r="G260" s="74"/>
      <c r="H260" s="74"/>
      <c r="I260" s="74"/>
      <c r="J260" s="76"/>
      <c r="K260" s="74"/>
      <c r="L260" s="166"/>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9.5" customHeight="1">
      <c r="A262" s="5"/>
      <c r="B262" s="159" t="str">
        <f>"③  " &amp; "63F00511" &amp; "   —   " &amp; SUMPRODUCT((ISNUMBER($B$264:$B$272))*N($C$264:$C$272)) &amp; " vỏ · " &amp; TEXT(SUM($J$264:$J$272),"#,##0") &amp; "đ" &amp; IF(SUMIF($K$264:$K$272,"Chưa thanh toán",$J$264:$J$272)&gt;0," · còn nợ "&amp;TEXT(SUMIF($K$264:$K$272,"Chưa thanh toán",$J$264:$J$272),"#,##0")&amp;"đ","")</f>
        <v>③  63F00511   —   0 vỏ · 0đ</v>
      </c>
      <c r="C262" s="2"/>
      <c r="D262" s="2"/>
      <c r="E262" s="2"/>
      <c r="F262" s="2"/>
      <c r="G262" s="2"/>
      <c r="H262" s="2"/>
      <c r="I262" s="2"/>
      <c r="J262" s="2"/>
      <c r="K262" s="2"/>
      <c r="L262" s="4"/>
      <c r="M262" s="5"/>
      <c r="N262" s="5"/>
      <c r="O262" s="5"/>
      <c r="P262" s="5"/>
      <c r="Q262" s="5"/>
      <c r="R262" s="5"/>
      <c r="S262" s="5"/>
      <c r="T262" s="5"/>
      <c r="U262" s="5"/>
      <c r="V262" s="5"/>
      <c r="W262" s="5"/>
      <c r="X262" s="5"/>
      <c r="Y262" s="5"/>
      <c r="Z262" s="5"/>
    </row>
    <row r="263" ht="25.5" customHeight="1">
      <c r="A263" s="5"/>
      <c r="B263" s="40" t="s">
        <v>127</v>
      </c>
      <c r="C263" s="40" t="s">
        <v>177</v>
      </c>
      <c r="D263" s="40" t="s">
        <v>178</v>
      </c>
      <c r="E263" s="40" t="s">
        <v>179</v>
      </c>
      <c r="F263" s="40" t="s">
        <v>180</v>
      </c>
      <c r="G263" s="40" t="s">
        <v>181</v>
      </c>
      <c r="H263" s="40" t="s">
        <v>182</v>
      </c>
      <c r="I263" s="40" t="s">
        <v>48</v>
      </c>
      <c r="J263" s="40" t="s">
        <v>49</v>
      </c>
      <c r="K263" s="40" t="s">
        <v>50</v>
      </c>
      <c r="L263" s="40" t="s">
        <v>19</v>
      </c>
      <c r="M263" s="5"/>
      <c r="N263" s="5"/>
      <c r="O263" s="5"/>
      <c r="P263" s="5"/>
      <c r="Q263" s="5"/>
      <c r="R263" s="5"/>
      <c r="S263" s="5"/>
      <c r="T263" s="5"/>
      <c r="U263" s="5"/>
      <c r="V263" s="5"/>
      <c r="W263" s="5"/>
      <c r="X263" s="5"/>
      <c r="Y263" s="5"/>
      <c r="Z263" s="5"/>
    </row>
    <row r="264" ht="15.0" customHeight="1">
      <c r="A264" s="5"/>
      <c r="B264" s="59"/>
      <c r="C264" s="63"/>
      <c r="D264" s="63"/>
      <c r="E264" s="63"/>
      <c r="F264" s="63"/>
      <c r="G264" s="63"/>
      <c r="H264" s="63"/>
      <c r="I264" s="63"/>
      <c r="J264" s="65"/>
      <c r="K264" s="63"/>
      <c r="L264" s="161"/>
      <c r="M264" s="5"/>
      <c r="N264" s="5"/>
      <c r="O264" s="5"/>
      <c r="P264" s="5"/>
      <c r="Q264" s="5"/>
      <c r="R264" s="5"/>
      <c r="S264" s="5"/>
      <c r="T264" s="5"/>
      <c r="U264" s="5"/>
      <c r="V264" s="5"/>
      <c r="W264" s="5"/>
      <c r="X264" s="5"/>
      <c r="Y264" s="5"/>
      <c r="Z264" s="5"/>
    </row>
    <row r="265" ht="15.0" customHeight="1">
      <c r="A265" s="5"/>
      <c r="B265" s="59"/>
      <c r="C265" s="63"/>
      <c r="D265" s="63"/>
      <c r="E265" s="63"/>
      <c r="F265" s="63"/>
      <c r="G265" s="63"/>
      <c r="H265" s="63"/>
      <c r="I265" s="63"/>
      <c r="J265" s="65"/>
      <c r="K265" s="63"/>
      <c r="L265" s="161"/>
      <c r="M265" s="5"/>
      <c r="N265" s="5"/>
      <c r="O265" s="5"/>
      <c r="P265" s="5"/>
      <c r="Q265" s="5"/>
      <c r="R265" s="5"/>
      <c r="S265" s="5"/>
      <c r="T265" s="5"/>
      <c r="U265" s="5"/>
      <c r="V265" s="5"/>
      <c r="W265" s="5"/>
      <c r="X265" s="5"/>
      <c r="Y265" s="5"/>
      <c r="Z265" s="5"/>
    </row>
    <row r="266" ht="15.0" customHeight="1">
      <c r="A266" s="5"/>
      <c r="B266" s="59"/>
      <c r="C266" s="63"/>
      <c r="D266" s="63"/>
      <c r="E266" s="63"/>
      <c r="F266" s="63"/>
      <c r="G266" s="63"/>
      <c r="H266" s="63"/>
      <c r="I266" s="63"/>
      <c r="J266" s="65"/>
      <c r="K266" s="63"/>
      <c r="L266" s="161"/>
      <c r="M266" s="5"/>
      <c r="N266" s="5"/>
      <c r="O266" s="5"/>
      <c r="P266" s="5"/>
      <c r="Q266" s="5"/>
      <c r="R266" s="5"/>
      <c r="S266" s="5"/>
      <c r="T266" s="5"/>
      <c r="U266" s="5"/>
      <c r="V266" s="5"/>
      <c r="W266" s="5"/>
      <c r="X266" s="5"/>
      <c r="Y266" s="5"/>
      <c r="Z266" s="5"/>
    </row>
    <row r="267" ht="15.0" customHeight="1">
      <c r="A267" s="5"/>
      <c r="B267" s="59"/>
      <c r="C267" s="63"/>
      <c r="D267" s="63"/>
      <c r="E267" s="63"/>
      <c r="F267" s="63"/>
      <c r="G267" s="63"/>
      <c r="H267" s="63"/>
      <c r="I267" s="63"/>
      <c r="J267" s="65"/>
      <c r="K267" s="63"/>
      <c r="L267" s="161"/>
      <c r="M267" s="5"/>
      <c r="N267" s="5"/>
      <c r="O267" s="5"/>
      <c r="P267" s="5"/>
      <c r="Q267" s="5"/>
      <c r="R267" s="5"/>
      <c r="S267" s="5"/>
      <c r="T267" s="5"/>
      <c r="U267" s="5"/>
      <c r="V267" s="5"/>
      <c r="W267" s="5"/>
      <c r="X267" s="5"/>
      <c r="Y267" s="5"/>
      <c r="Z267" s="5"/>
    </row>
    <row r="268" ht="15.0" customHeight="1">
      <c r="A268" s="5"/>
      <c r="B268" s="59"/>
      <c r="C268" s="63"/>
      <c r="D268" s="63"/>
      <c r="E268" s="63"/>
      <c r="F268" s="63"/>
      <c r="G268" s="63"/>
      <c r="H268" s="63"/>
      <c r="I268" s="63"/>
      <c r="J268" s="65"/>
      <c r="K268" s="63"/>
      <c r="L268" s="161"/>
      <c r="M268" s="5"/>
      <c r="N268" s="5"/>
      <c r="O268" s="5"/>
      <c r="P268" s="5"/>
      <c r="Q268" s="5"/>
      <c r="R268" s="5"/>
      <c r="S268" s="5"/>
      <c r="T268" s="5"/>
      <c r="U268" s="5"/>
      <c r="V268" s="5"/>
      <c r="W268" s="5"/>
      <c r="X268" s="5"/>
      <c r="Y268" s="5"/>
      <c r="Z268" s="5"/>
    </row>
    <row r="269" ht="15.0" customHeight="1">
      <c r="A269" s="5"/>
      <c r="B269" s="59"/>
      <c r="C269" s="63"/>
      <c r="D269" s="63"/>
      <c r="E269" s="63"/>
      <c r="F269" s="63"/>
      <c r="G269" s="63"/>
      <c r="H269" s="63"/>
      <c r="I269" s="63"/>
      <c r="J269" s="65"/>
      <c r="K269" s="63"/>
      <c r="L269" s="161"/>
      <c r="M269" s="5"/>
      <c r="N269" s="5"/>
      <c r="O269" s="5"/>
      <c r="P269" s="5"/>
      <c r="Q269" s="5"/>
      <c r="R269" s="5"/>
      <c r="S269" s="5"/>
      <c r="T269" s="5"/>
      <c r="U269" s="5"/>
      <c r="V269" s="5"/>
      <c r="W269" s="5"/>
      <c r="X269" s="5"/>
      <c r="Y269" s="5"/>
      <c r="Z269" s="5"/>
    </row>
    <row r="270" ht="15.0" customHeight="1">
      <c r="A270" s="5"/>
      <c r="B270" s="59"/>
      <c r="C270" s="63"/>
      <c r="D270" s="63"/>
      <c r="E270" s="63"/>
      <c r="F270" s="63"/>
      <c r="G270" s="63"/>
      <c r="H270" s="63"/>
      <c r="I270" s="63"/>
      <c r="J270" s="65"/>
      <c r="K270" s="63"/>
      <c r="L270" s="161"/>
      <c r="M270" s="5"/>
      <c r="N270" s="5"/>
      <c r="O270" s="5"/>
      <c r="P270" s="5"/>
      <c r="Q270" s="5"/>
      <c r="R270" s="5"/>
      <c r="S270" s="5"/>
      <c r="T270" s="5"/>
      <c r="U270" s="5"/>
      <c r="V270" s="5"/>
      <c r="W270" s="5"/>
      <c r="X270" s="5"/>
      <c r="Y270" s="5"/>
      <c r="Z270" s="5"/>
    </row>
    <row r="271" ht="15.0" customHeight="1">
      <c r="A271" s="5"/>
      <c r="B271" s="59"/>
      <c r="C271" s="63"/>
      <c r="D271" s="63"/>
      <c r="E271" s="63"/>
      <c r="F271" s="63"/>
      <c r="G271" s="63"/>
      <c r="H271" s="63"/>
      <c r="I271" s="63"/>
      <c r="J271" s="65"/>
      <c r="K271" s="63"/>
      <c r="L271" s="161"/>
      <c r="M271" s="5"/>
      <c r="N271" s="5"/>
      <c r="O271" s="5"/>
      <c r="P271" s="5"/>
      <c r="Q271" s="5"/>
      <c r="R271" s="5"/>
      <c r="S271" s="5"/>
      <c r="T271" s="5"/>
      <c r="U271" s="5"/>
      <c r="V271" s="5"/>
      <c r="W271" s="5"/>
      <c r="X271" s="5"/>
      <c r="Y271" s="5"/>
      <c r="Z271" s="5"/>
    </row>
    <row r="272" ht="15.0" customHeight="1">
      <c r="A272" s="5"/>
      <c r="B272" s="59"/>
      <c r="C272" s="63"/>
      <c r="D272" s="63"/>
      <c r="E272" s="63"/>
      <c r="F272" s="63"/>
      <c r="G272" s="63"/>
      <c r="H272" s="63"/>
      <c r="I272" s="63"/>
      <c r="J272" s="65"/>
      <c r="K272" s="63"/>
      <c r="L272" s="161"/>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9.5" customHeight="1">
      <c r="A274" s="5"/>
      <c r="B274" s="159" t="str">
        <f>"③  " &amp; "63H04234" &amp; "   —   " &amp; SUMPRODUCT((ISNUMBER($B$276:$B$286))*N($C$276:$C$286)) &amp; " vỏ · " &amp; TEXT(SUM($J$276:$J$286),"#,##0") &amp; "đ" &amp; IF(SUMIF($K$276:$K$286,"Chưa thanh toán",$J$276:$J$286)&gt;0," · còn nợ "&amp;TEXT(SUMIF($K$276:$K$286,"Chưa thanh toán",$J$276:$J$286),"#,##0")&amp;"đ","")</f>
        <v>③  63H04234   —   4 vỏ · 31.560.000đ</v>
      </c>
      <c r="C274" s="2"/>
      <c r="D274" s="2"/>
      <c r="E274" s="2"/>
      <c r="F274" s="2"/>
      <c r="G274" s="2"/>
      <c r="H274" s="2"/>
      <c r="I274" s="2"/>
      <c r="J274" s="2"/>
      <c r="K274" s="2"/>
      <c r="L274" s="4"/>
      <c r="M274" s="5"/>
      <c r="N274" s="5"/>
      <c r="O274" s="5"/>
      <c r="P274" s="5"/>
      <c r="Q274" s="5"/>
      <c r="R274" s="5"/>
      <c r="S274" s="5"/>
      <c r="T274" s="5"/>
      <c r="U274" s="5"/>
      <c r="V274" s="5"/>
      <c r="W274" s="5"/>
      <c r="X274" s="5"/>
      <c r="Y274" s="5"/>
      <c r="Z274" s="5"/>
    </row>
    <row r="275" ht="25.5" customHeight="1">
      <c r="A275" s="5"/>
      <c r="B275" s="70" t="s">
        <v>127</v>
      </c>
      <c r="C275" s="70" t="s">
        <v>177</v>
      </c>
      <c r="D275" s="70" t="s">
        <v>178</v>
      </c>
      <c r="E275" s="70" t="s">
        <v>179</v>
      </c>
      <c r="F275" s="70" t="s">
        <v>180</v>
      </c>
      <c r="G275" s="70" t="s">
        <v>181</v>
      </c>
      <c r="H275" s="70" t="s">
        <v>182</v>
      </c>
      <c r="I275" s="70" t="s">
        <v>48</v>
      </c>
      <c r="J275" s="70" t="s">
        <v>49</v>
      </c>
      <c r="K275" s="70" t="s">
        <v>50</v>
      </c>
      <c r="L275" s="70" t="s">
        <v>19</v>
      </c>
      <c r="M275" s="5"/>
      <c r="N275" s="5"/>
      <c r="O275" s="5"/>
      <c r="P275" s="5"/>
      <c r="Q275" s="5"/>
      <c r="R275" s="5"/>
      <c r="S275" s="5"/>
      <c r="T275" s="5"/>
      <c r="U275" s="5"/>
      <c r="V275" s="5"/>
      <c r="W275" s="5"/>
      <c r="X275" s="5"/>
      <c r="Y275" s="5"/>
      <c r="Z275" s="5"/>
    </row>
    <row r="276" ht="15.0" customHeight="1">
      <c r="A276" s="5"/>
      <c r="B276" s="52">
        <v>46055.0</v>
      </c>
      <c r="C276" s="54">
        <v>2.0</v>
      </c>
      <c r="D276" s="54"/>
      <c r="E276" s="54"/>
      <c r="F276" s="54"/>
      <c r="G276" s="54" t="s">
        <v>188</v>
      </c>
      <c r="H276" s="54" t="s">
        <v>269</v>
      </c>
      <c r="I276" s="54"/>
      <c r="J276" s="55">
        <v>8400000.0</v>
      </c>
      <c r="K276" s="54" t="s">
        <v>53</v>
      </c>
      <c r="L276" s="160" t="s">
        <v>270</v>
      </c>
      <c r="M276" s="5"/>
      <c r="N276" s="5"/>
      <c r="O276" s="5"/>
      <c r="P276" s="5"/>
      <c r="Q276" s="5"/>
      <c r="R276" s="5"/>
      <c r="S276" s="5"/>
      <c r="T276" s="5"/>
      <c r="U276" s="5"/>
      <c r="V276" s="5"/>
      <c r="W276" s="5"/>
      <c r="X276" s="5"/>
      <c r="Y276" s="5"/>
      <c r="Z276" s="5"/>
    </row>
    <row r="277" ht="15.0" customHeight="1">
      <c r="A277" s="5"/>
      <c r="B277" s="52">
        <v>46199.0</v>
      </c>
      <c r="C277" s="54"/>
      <c r="D277" s="54"/>
      <c r="E277" s="54"/>
      <c r="F277" s="54"/>
      <c r="G277" s="54" t="s">
        <v>271</v>
      </c>
      <c r="H277" s="54" t="s">
        <v>272</v>
      </c>
      <c r="I277" s="54"/>
      <c r="J277" s="55">
        <v>1160000.0</v>
      </c>
      <c r="K277" s="54" t="s">
        <v>53</v>
      </c>
      <c r="L277" s="160" t="s">
        <v>273</v>
      </c>
      <c r="M277" s="5"/>
      <c r="N277" s="5"/>
      <c r="O277" s="5"/>
      <c r="P277" s="5"/>
      <c r="Q277" s="5"/>
      <c r="R277" s="5"/>
      <c r="S277" s="5"/>
      <c r="T277" s="5"/>
      <c r="U277" s="5"/>
      <c r="V277" s="5"/>
      <c r="W277" s="5"/>
      <c r="X277" s="5"/>
      <c r="Y277" s="5"/>
      <c r="Z277" s="5"/>
    </row>
    <row r="278" ht="15.0" customHeight="1">
      <c r="A278" s="5"/>
      <c r="B278" s="52">
        <v>46231.0</v>
      </c>
      <c r="C278" s="54">
        <v>2.0</v>
      </c>
      <c r="D278" s="54"/>
      <c r="E278" s="54"/>
      <c r="F278" s="54"/>
      <c r="G278" s="54"/>
      <c r="H278" s="54"/>
      <c r="I278" s="54" t="s">
        <v>274</v>
      </c>
      <c r="J278" s="55">
        <v>2.2E7</v>
      </c>
      <c r="K278" s="54" t="s">
        <v>53</v>
      </c>
      <c r="L278" s="160" t="s">
        <v>275</v>
      </c>
      <c r="M278" s="5"/>
      <c r="N278" s="5"/>
      <c r="O278" s="5"/>
      <c r="P278" s="5"/>
      <c r="Q278" s="5"/>
      <c r="R278" s="5"/>
      <c r="S278" s="5"/>
      <c r="T278" s="5"/>
      <c r="U278" s="5"/>
      <c r="V278" s="5"/>
      <c r="W278" s="5"/>
      <c r="X278" s="5"/>
      <c r="Y278" s="5"/>
      <c r="Z278" s="5"/>
    </row>
    <row r="279" ht="15.0" customHeight="1">
      <c r="A279" s="5"/>
      <c r="B279" s="72"/>
      <c r="C279" s="74"/>
      <c r="D279" s="74"/>
      <c r="E279" s="74"/>
      <c r="F279" s="74"/>
      <c r="G279" s="74"/>
      <c r="H279" s="74"/>
      <c r="I279" s="74"/>
      <c r="J279" s="76"/>
      <c r="K279" s="74"/>
      <c r="L279" s="166"/>
      <c r="M279" s="5"/>
      <c r="N279" s="5"/>
      <c r="O279" s="5"/>
      <c r="P279" s="5"/>
      <c r="Q279" s="5"/>
      <c r="R279" s="5"/>
      <c r="S279" s="5"/>
      <c r="T279" s="5"/>
      <c r="U279" s="5"/>
      <c r="V279" s="5"/>
      <c r="W279" s="5"/>
      <c r="X279" s="5"/>
      <c r="Y279" s="5"/>
      <c r="Z279" s="5"/>
    </row>
    <row r="280" ht="15.0" customHeight="1">
      <c r="A280" s="5"/>
      <c r="B280" s="72"/>
      <c r="C280" s="74"/>
      <c r="D280" s="74"/>
      <c r="E280" s="74"/>
      <c r="F280" s="74"/>
      <c r="G280" s="74"/>
      <c r="H280" s="74"/>
      <c r="I280" s="74"/>
      <c r="J280" s="76"/>
      <c r="K280" s="74"/>
      <c r="L280" s="166"/>
      <c r="M280" s="5"/>
      <c r="N280" s="5"/>
      <c r="O280" s="5"/>
      <c r="P280" s="5"/>
      <c r="Q280" s="5"/>
      <c r="R280" s="5"/>
      <c r="S280" s="5"/>
      <c r="T280" s="5"/>
      <c r="U280" s="5"/>
      <c r="V280" s="5"/>
      <c r="W280" s="5"/>
      <c r="X280" s="5"/>
      <c r="Y280" s="5"/>
      <c r="Z280" s="5"/>
    </row>
    <row r="281" ht="15.0" customHeight="1">
      <c r="A281" s="5"/>
      <c r="B281" s="72"/>
      <c r="C281" s="74"/>
      <c r="D281" s="74"/>
      <c r="E281" s="74"/>
      <c r="F281" s="74"/>
      <c r="G281" s="74"/>
      <c r="H281" s="74"/>
      <c r="I281" s="74"/>
      <c r="J281" s="76"/>
      <c r="K281" s="74"/>
      <c r="L281" s="166"/>
      <c r="M281" s="5"/>
      <c r="N281" s="5"/>
      <c r="O281" s="5"/>
      <c r="P281" s="5"/>
      <c r="Q281" s="5"/>
      <c r="R281" s="5"/>
      <c r="S281" s="5"/>
      <c r="T281" s="5"/>
      <c r="U281" s="5"/>
      <c r="V281" s="5"/>
      <c r="W281" s="5"/>
      <c r="X281" s="5"/>
      <c r="Y281" s="5"/>
      <c r="Z281" s="5"/>
    </row>
    <row r="282" ht="15.0" customHeight="1">
      <c r="A282" s="5"/>
      <c r="B282" s="72"/>
      <c r="C282" s="74"/>
      <c r="D282" s="74"/>
      <c r="E282" s="74"/>
      <c r="F282" s="74"/>
      <c r="G282" s="74"/>
      <c r="H282" s="74"/>
      <c r="I282" s="74"/>
      <c r="J282" s="76"/>
      <c r="K282" s="74"/>
      <c r="L282" s="166"/>
      <c r="M282" s="5"/>
      <c r="N282" s="5"/>
      <c r="O282" s="5"/>
      <c r="P282" s="5"/>
      <c r="Q282" s="5"/>
      <c r="R282" s="5"/>
      <c r="S282" s="5"/>
      <c r="T282" s="5"/>
      <c r="U282" s="5"/>
      <c r="V282" s="5"/>
      <c r="W282" s="5"/>
      <c r="X282" s="5"/>
      <c r="Y282" s="5"/>
      <c r="Z282" s="5"/>
    </row>
    <row r="283" ht="15.0" customHeight="1">
      <c r="A283" s="5"/>
      <c r="B283" s="72"/>
      <c r="C283" s="74"/>
      <c r="D283" s="74"/>
      <c r="E283" s="74"/>
      <c r="F283" s="74"/>
      <c r="G283" s="74"/>
      <c r="H283" s="74"/>
      <c r="I283" s="74"/>
      <c r="J283" s="76"/>
      <c r="K283" s="74"/>
      <c r="L283" s="166"/>
      <c r="M283" s="5"/>
      <c r="N283" s="5"/>
      <c r="O283" s="5"/>
      <c r="P283" s="5"/>
      <c r="Q283" s="5"/>
      <c r="R283" s="5"/>
      <c r="S283" s="5"/>
      <c r="T283" s="5"/>
      <c r="U283" s="5"/>
      <c r="V283" s="5"/>
      <c r="W283" s="5"/>
      <c r="X283" s="5"/>
      <c r="Y283" s="5"/>
      <c r="Z283" s="5"/>
    </row>
    <row r="284" ht="15.0" customHeight="1">
      <c r="A284" s="5"/>
      <c r="B284" s="72"/>
      <c r="C284" s="74"/>
      <c r="D284" s="74"/>
      <c r="E284" s="74"/>
      <c r="F284" s="74"/>
      <c r="G284" s="74"/>
      <c r="H284" s="74"/>
      <c r="I284" s="74"/>
      <c r="J284" s="76"/>
      <c r="K284" s="74"/>
      <c r="L284" s="166"/>
      <c r="M284" s="5"/>
      <c r="N284" s="5"/>
      <c r="O284" s="5"/>
      <c r="P284" s="5"/>
      <c r="Q284" s="5"/>
      <c r="R284" s="5"/>
      <c r="S284" s="5"/>
      <c r="T284" s="5"/>
      <c r="U284" s="5"/>
      <c r="V284" s="5"/>
      <c r="W284" s="5"/>
      <c r="X284" s="5"/>
      <c r="Y284" s="5"/>
      <c r="Z284" s="5"/>
    </row>
    <row r="285" ht="15.0" customHeight="1">
      <c r="A285" s="5"/>
      <c r="B285" s="72"/>
      <c r="C285" s="74"/>
      <c r="D285" s="74"/>
      <c r="E285" s="74"/>
      <c r="F285" s="74"/>
      <c r="G285" s="74"/>
      <c r="H285" s="74"/>
      <c r="I285" s="74"/>
      <c r="J285" s="76"/>
      <c r="K285" s="74"/>
      <c r="L285" s="166"/>
      <c r="M285" s="5"/>
      <c r="N285" s="5"/>
      <c r="O285" s="5"/>
      <c r="P285" s="5"/>
      <c r="Q285" s="5"/>
      <c r="R285" s="5"/>
      <c r="S285" s="5"/>
      <c r="T285" s="5"/>
      <c r="U285" s="5"/>
      <c r="V285" s="5"/>
      <c r="W285" s="5"/>
      <c r="X285" s="5"/>
      <c r="Y285" s="5"/>
      <c r="Z285" s="5"/>
    </row>
    <row r="286" ht="15.0" customHeight="1">
      <c r="A286" s="5"/>
      <c r="B286" s="72"/>
      <c r="C286" s="74"/>
      <c r="D286" s="74"/>
      <c r="E286" s="74"/>
      <c r="F286" s="74"/>
      <c r="G286" s="74"/>
      <c r="H286" s="74"/>
      <c r="I286" s="74"/>
      <c r="J286" s="76"/>
      <c r="K286" s="74"/>
      <c r="L286" s="166"/>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9.5" customHeight="1">
      <c r="A288" s="5"/>
      <c r="B288" s="159" t="str">
        <f>"③  " &amp; "63E01235" &amp; "   —   " &amp; SUMPRODUCT((ISNUMBER($B$290:$B$298))*N($C$290:$C$298)) &amp; " vỏ · " &amp; TEXT(SUM($J$290:$J$298),"#,##0") &amp; "đ" &amp; IF(SUMIF($K$290:$K$298,"Chưa thanh toán",$J$290:$J$298)&gt;0," · còn nợ "&amp;TEXT(SUMIF($K$290:$K$298,"Chưa thanh toán",$J$290:$J$298),"#,##0")&amp;"đ","")</f>
        <v>③  63E01235   —   0 vỏ · 0đ</v>
      </c>
      <c r="C288" s="2"/>
      <c r="D288" s="2"/>
      <c r="E288" s="2"/>
      <c r="F288" s="2"/>
      <c r="G288" s="2"/>
      <c r="H288" s="2"/>
      <c r="I288" s="2"/>
      <c r="J288" s="2"/>
      <c r="K288" s="2"/>
      <c r="L288" s="4"/>
      <c r="M288" s="5"/>
      <c r="N288" s="5"/>
      <c r="O288" s="5"/>
      <c r="P288" s="5"/>
      <c r="Q288" s="5"/>
      <c r="R288" s="5"/>
      <c r="S288" s="5"/>
      <c r="T288" s="5"/>
      <c r="U288" s="5"/>
      <c r="V288" s="5"/>
      <c r="W288" s="5"/>
      <c r="X288" s="5"/>
      <c r="Y288" s="5"/>
      <c r="Z288" s="5"/>
    </row>
    <row r="289" ht="25.5" customHeight="1">
      <c r="A289" s="5"/>
      <c r="B289" s="40" t="s">
        <v>127</v>
      </c>
      <c r="C289" s="40" t="s">
        <v>177</v>
      </c>
      <c r="D289" s="40" t="s">
        <v>178</v>
      </c>
      <c r="E289" s="40" t="s">
        <v>179</v>
      </c>
      <c r="F289" s="40" t="s">
        <v>180</v>
      </c>
      <c r="G289" s="40" t="s">
        <v>181</v>
      </c>
      <c r="H289" s="40" t="s">
        <v>182</v>
      </c>
      <c r="I289" s="40" t="s">
        <v>48</v>
      </c>
      <c r="J289" s="40" t="s">
        <v>49</v>
      </c>
      <c r="K289" s="40" t="s">
        <v>50</v>
      </c>
      <c r="L289" s="40" t="s">
        <v>19</v>
      </c>
      <c r="M289" s="5"/>
      <c r="N289" s="5"/>
      <c r="O289" s="5"/>
      <c r="P289" s="5"/>
      <c r="Q289" s="5"/>
      <c r="R289" s="5"/>
      <c r="S289" s="5"/>
      <c r="T289" s="5"/>
      <c r="U289" s="5"/>
      <c r="V289" s="5"/>
      <c r="W289" s="5"/>
      <c r="X289" s="5"/>
      <c r="Y289" s="5"/>
      <c r="Z289" s="5"/>
    </row>
    <row r="290" ht="15.0" customHeight="1">
      <c r="A290" s="5"/>
      <c r="B290" s="59"/>
      <c r="C290" s="63"/>
      <c r="D290" s="63"/>
      <c r="E290" s="63"/>
      <c r="F290" s="63"/>
      <c r="G290" s="63"/>
      <c r="H290" s="63"/>
      <c r="I290" s="63"/>
      <c r="J290" s="65"/>
      <c r="K290" s="63"/>
      <c r="L290" s="161"/>
      <c r="M290" s="5"/>
      <c r="N290" s="5"/>
      <c r="O290" s="5"/>
      <c r="P290" s="5"/>
      <c r="Q290" s="5"/>
      <c r="R290" s="5"/>
      <c r="S290" s="5"/>
      <c r="T290" s="5"/>
      <c r="U290" s="5"/>
      <c r="V290" s="5"/>
      <c r="W290" s="5"/>
      <c r="X290" s="5"/>
      <c r="Y290" s="5"/>
      <c r="Z290" s="5"/>
    </row>
    <row r="291" ht="15.0" customHeight="1">
      <c r="A291" s="5"/>
      <c r="B291" s="59"/>
      <c r="C291" s="63"/>
      <c r="D291" s="63"/>
      <c r="E291" s="63"/>
      <c r="F291" s="63"/>
      <c r="G291" s="63"/>
      <c r="H291" s="63"/>
      <c r="I291" s="63"/>
      <c r="J291" s="65"/>
      <c r="K291" s="63"/>
      <c r="L291" s="161"/>
      <c r="M291" s="5"/>
      <c r="N291" s="5"/>
      <c r="O291" s="5"/>
      <c r="P291" s="5"/>
      <c r="Q291" s="5"/>
      <c r="R291" s="5"/>
      <c r="S291" s="5"/>
      <c r="T291" s="5"/>
      <c r="U291" s="5"/>
      <c r="V291" s="5"/>
      <c r="W291" s="5"/>
      <c r="X291" s="5"/>
      <c r="Y291" s="5"/>
      <c r="Z291" s="5"/>
    </row>
    <row r="292" ht="15.0" customHeight="1">
      <c r="A292" s="5"/>
      <c r="B292" s="59"/>
      <c r="C292" s="63"/>
      <c r="D292" s="63"/>
      <c r="E292" s="63"/>
      <c r="F292" s="63"/>
      <c r="G292" s="63"/>
      <c r="H292" s="63"/>
      <c r="I292" s="63"/>
      <c r="J292" s="65"/>
      <c r="K292" s="63"/>
      <c r="L292" s="161"/>
      <c r="M292" s="5"/>
      <c r="N292" s="5"/>
      <c r="O292" s="5"/>
      <c r="P292" s="5"/>
      <c r="Q292" s="5"/>
      <c r="R292" s="5"/>
      <c r="S292" s="5"/>
      <c r="T292" s="5"/>
      <c r="U292" s="5"/>
      <c r="V292" s="5"/>
      <c r="W292" s="5"/>
      <c r="X292" s="5"/>
      <c r="Y292" s="5"/>
      <c r="Z292" s="5"/>
    </row>
    <row r="293" ht="15.0" customHeight="1">
      <c r="A293" s="5"/>
      <c r="B293" s="59"/>
      <c r="C293" s="63"/>
      <c r="D293" s="63"/>
      <c r="E293" s="63"/>
      <c r="F293" s="63"/>
      <c r="G293" s="63"/>
      <c r="H293" s="63"/>
      <c r="I293" s="63"/>
      <c r="J293" s="65"/>
      <c r="K293" s="63"/>
      <c r="L293" s="161"/>
      <c r="M293" s="5"/>
      <c r="N293" s="5"/>
      <c r="O293" s="5"/>
      <c r="P293" s="5"/>
      <c r="Q293" s="5"/>
      <c r="R293" s="5"/>
      <c r="S293" s="5"/>
      <c r="T293" s="5"/>
      <c r="U293" s="5"/>
      <c r="V293" s="5"/>
      <c r="W293" s="5"/>
      <c r="X293" s="5"/>
      <c r="Y293" s="5"/>
      <c r="Z293" s="5"/>
    </row>
    <row r="294" ht="15.0" customHeight="1">
      <c r="A294" s="5"/>
      <c r="B294" s="59"/>
      <c r="C294" s="63"/>
      <c r="D294" s="63"/>
      <c r="E294" s="63"/>
      <c r="F294" s="63"/>
      <c r="G294" s="63"/>
      <c r="H294" s="63"/>
      <c r="I294" s="63"/>
      <c r="J294" s="65"/>
      <c r="K294" s="63"/>
      <c r="L294" s="161"/>
      <c r="M294" s="5"/>
      <c r="N294" s="5"/>
      <c r="O294" s="5"/>
      <c r="P294" s="5"/>
      <c r="Q294" s="5"/>
      <c r="R294" s="5"/>
      <c r="S294" s="5"/>
      <c r="T294" s="5"/>
      <c r="U294" s="5"/>
      <c r="V294" s="5"/>
      <c r="W294" s="5"/>
      <c r="X294" s="5"/>
      <c r="Y294" s="5"/>
      <c r="Z294" s="5"/>
    </row>
    <row r="295" ht="15.0" customHeight="1">
      <c r="A295" s="5"/>
      <c r="B295" s="59"/>
      <c r="C295" s="63"/>
      <c r="D295" s="63"/>
      <c r="E295" s="63"/>
      <c r="F295" s="63"/>
      <c r="G295" s="63"/>
      <c r="H295" s="63"/>
      <c r="I295" s="63"/>
      <c r="J295" s="65"/>
      <c r="K295" s="63"/>
      <c r="L295" s="161"/>
      <c r="M295" s="5"/>
      <c r="N295" s="5"/>
      <c r="O295" s="5"/>
      <c r="P295" s="5"/>
      <c r="Q295" s="5"/>
      <c r="R295" s="5"/>
      <c r="S295" s="5"/>
      <c r="T295" s="5"/>
      <c r="U295" s="5"/>
      <c r="V295" s="5"/>
      <c r="W295" s="5"/>
      <c r="X295" s="5"/>
      <c r="Y295" s="5"/>
      <c r="Z295" s="5"/>
    </row>
    <row r="296" ht="15.0" customHeight="1">
      <c r="A296" s="5"/>
      <c r="B296" s="59"/>
      <c r="C296" s="63"/>
      <c r="D296" s="63"/>
      <c r="E296" s="63"/>
      <c r="F296" s="63"/>
      <c r="G296" s="63"/>
      <c r="H296" s="63"/>
      <c r="I296" s="63"/>
      <c r="J296" s="65"/>
      <c r="K296" s="63"/>
      <c r="L296" s="161"/>
      <c r="M296" s="5"/>
      <c r="N296" s="5"/>
      <c r="O296" s="5"/>
      <c r="P296" s="5"/>
      <c r="Q296" s="5"/>
      <c r="R296" s="5"/>
      <c r="S296" s="5"/>
      <c r="T296" s="5"/>
      <c r="U296" s="5"/>
      <c r="V296" s="5"/>
      <c r="W296" s="5"/>
      <c r="X296" s="5"/>
      <c r="Y296" s="5"/>
      <c r="Z296" s="5"/>
    </row>
    <row r="297" ht="15.0" customHeight="1">
      <c r="A297" s="5"/>
      <c r="B297" s="59"/>
      <c r="C297" s="63"/>
      <c r="D297" s="63"/>
      <c r="E297" s="63"/>
      <c r="F297" s="63"/>
      <c r="G297" s="63"/>
      <c r="H297" s="63"/>
      <c r="I297" s="63"/>
      <c r="J297" s="65"/>
      <c r="K297" s="63"/>
      <c r="L297" s="161"/>
      <c r="M297" s="5"/>
      <c r="N297" s="5"/>
      <c r="O297" s="5"/>
      <c r="P297" s="5"/>
      <c r="Q297" s="5"/>
      <c r="R297" s="5"/>
      <c r="S297" s="5"/>
      <c r="T297" s="5"/>
      <c r="U297" s="5"/>
      <c r="V297" s="5"/>
      <c r="W297" s="5"/>
      <c r="X297" s="5"/>
      <c r="Y297" s="5"/>
      <c r="Z297" s="5"/>
    </row>
    <row r="298" ht="15.0" customHeight="1">
      <c r="A298" s="5"/>
      <c r="B298" s="59"/>
      <c r="C298" s="63"/>
      <c r="D298" s="63"/>
      <c r="E298" s="63"/>
      <c r="F298" s="63"/>
      <c r="G298" s="63"/>
      <c r="H298" s="63"/>
      <c r="I298" s="63"/>
      <c r="J298" s="65"/>
      <c r="K298" s="63"/>
      <c r="L298" s="161"/>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9.5" customHeight="1">
      <c r="A300" s="5"/>
      <c r="B300" s="159" t="str">
        <f>"③  " &amp; "63G00297" &amp; "   —   " &amp; SUMPRODUCT((ISNUMBER($B$302:$B$310))*N($C$302:$C$310)) &amp; " vỏ · " &amp; TEXT(SUM($J$302:$J$310),"#,##0") &amp; "đ" &amp; IF(SUMIF($K$302:$K$310,"Chưa thanh toán",$J$302:$J$310)&gt;0," · còn nợ "&amp;TEXT(SUMIF($K$302:$K$310,"Chưa thanh toán",$J$302:$J$310),"#,##0")&amp;"đ","")</f>
        <v>③  63G00297   —   0 vỏ · 0đ</v>
      </c>
      <c r="C300" s="2"/>
      <c r="D300" s="2"/>
      <c r="E300" s="2"/>
      <c r="F300" s="2"/>
      <c r="G300" s="2"/>
      <c r="H300" s="2"/>
      <c r="I300" s="2"/>
      <c r="J300" s="2"/>
      <c r="K300" s="2"/>
      <c r="L300" s="4"/>
      <c r="M300" s="5"/>
      <c r="N300" s="5"/>
      <c r="O300" s="5"/>
      <c r="P300" s="5"/>
      <c r="Q300" s="5"/>
      <c r="R300" s="5"/>
      <c r="S300" s="5"/>
      <c r="T300" s="5"/>
      <c r="U300" s="5"/>
      <c r="V300" s="5"/>
      <c r="W300" s="5"/>
      <c r="X300" s="5"/>
      <c r="Y300" s="5"/>
      <c r="Z300" s="5"/>
    </row>
    <row r="301" ht="25.5" customHeight="1">
      <c r="A301" s="5"/>
      <c r="B301" s="70" t="s">
        <v>127</v>
      </c>
      <c r="C301" s="70" t="s">
        <v>177</v>
      </c>
      <c r="D301" s="70" t="s">
        <v>178</v>
      </c>
      <c r="E301" s="70" t="s">
        <v>179</v>
      </c>
      <c r="F301" s="70" t="s">
        <v>180</v>
      </c>
      <c r="G301" s="70" t="s">
        <v>181</v>
      </c>
      <c r="H301" s="70" t="s">
        <v>182</v>
      </c>
      <c r="I301" s="70" t="s">
        <v>48</v>
      </c>
      <c r="J301" s="70" t="s">
        <v>49</v>
      </c>
      <c r="K301" s="70" t="s">
        <v>50</v>
      </c>
      <c r="L301" s="70" t="s">
        <v>19</v>
      </c>
      <c r="M301" s="5"/>
      <c r="N301" s="5"/>
      <c r="O301" s="5"/>
      <c r="P301" s="5"/>
      <c r="Q301" s="5"/>
      <c r="R301" s="5"/>
      <c r="S301" s="5"/>
      <c r="T301" s="5"/>
      <c r="U301" s="5"/>
      <c r="V301" s="5"/>
      <c r="W301" s="5"/>
      <c r="X301" s="5"/>
      <c r="Y301" s="5"/>
      <c r="Z301" s="5"/>
    </row>
    <row r="302" ht="15.0" customHeight="1">
      <c r="A302" s="5"/>
      <c r="B302" s="72"/>
      <c r="C302" s="74"/>
      <c r="D302" s="74"/>
      <c r="E302" s="74"/>
      <c r="F302" s="74"/>
      <c r="G302" s="74"/>
      <c r="H302" s="74"/>
      <c r="I302" s="74"/>
      <c r="J302" s="76"/>
      <c r="K302" s="74"/>
      <c r="L302" s="166"/>
      <c r="M302" s="5"/>
      <c r="N302" s="5"/>
      <c r="O302" s="5"/>
      <c r="P302" s="5"/>
      <c r="Q302" s="5"/>
      <c r="R302" s="5"/>
      <c r="S302" s="5"/>
      <c r="T302" s="5"/>
      <c r="U302" s="5"/>
      <c r="V302" s="5"/>
      <c r="W302" s="5"/>
      <c r="X302" s="5"/>
      <c r="Y302" s="5"/>
      <c r="Z302" s="5"/>
    </row>
    <row r="303" ht="15.0" customHeight="1">
      <c r="A303" s="5"/>
      <c r="B303" s="72"/>
      <c r="C303" s="74"/>
      <c r="D303" s="74"/>
      <c r="E303" s="74"/>
      <c r="F303" s="74"/>
      <c r="G303" s="74"/>
      <c r="H303" s="74"/>
      <c r="I303" s="74"/>
      <c r="J303" s="76"/>
      <c r="K303" s="74"/>
      <c r="L303" s="166"/>
      <c r="M303" s="5"/>
      <c r="N303" s="5"/>
      <c r="O303" s="5"/>
      <c r="P303" s="5"/>
      <c r="Q303" s="5"/>
      <c r="R303" s="5"/>
      <c r="S303" s="5"/>
      <c r="T303" s="5"/>
      <c r="U303" s="5"/>
      <c r="V303" s="5"/>
      <c r="W303" s="5"/>
      <c r="X303" s="5"/>
      <c r="Y303" s="5"/>
      <c r="Z303" s="5"/>
    </row>
    <row r="304" ht="15.0" customHeight="1">
      <c r="A304" s="5"/>
      <c r="B304" s="72"/>
      <c r="C304" s="74"/>
      <c r="D304" s="74"/>
      <c r="E304" s="74"/>
      <c r="F304" s="74"/>
      <c r="G304" s="74"/>
      <c r="H304" s="74"/>
      <c r="I304" s="74"/>
      <c r="J304" s="76"/>
      <c r="K304" s="74"/>
      <c r="L304" s="166"/>
      <c r="M304" s="5"/>
      <c r="N304" s="5"/>
      <c r="O304" s="5"/>
      <c r="P304" s="5"/>
      <c r="Q304" s="5"/>
      <c r="R304" s="5"/>
      <c r="S304" s="5"/>
      <c r="T304" s="5"/>
      <c r="U304" s="5"/>
      <c r="V304" s="5"/>
      <c r="W304" s="5"/>
      <c r="X304" s="5"/>
      <c r="Y304" s="5"/>
      <c r="Z304" s="5"/>
    </row>
    <row r="305" ht="15.0" customHeight="1">
      <c r="A305" s="5"/>
      <c r="B305" s="72"/>
      <c r="C305" s="74"/>
      <c r="D305" s="74"/>
      <c r="E305" s="74"/>
      <c r="F305" s="74"/>
      <c r="G305" s="74"/>
      <c r="H305" s="74"/>
      <c r="I305" s="74"/>
      <c r="J305" s="76"/>
      <c r="K305" s="74"/>
      <c r="L305" s="166"/>
      <c r="M305" s="5"/>
      <c r="N305" s="5"/>
      <c r="O305" s="5"/>
      <c r="P305" s="5"/>
      <c r="Q305" s="5"/>
      <c r="R305" s="5"/>
      <c r="S305" s="5"/>
      <c r="T305" s="5"/>
      <c r="U305" s="5"/>
      <c r="V305" s="5"/>
      <c r="W305" s="5"/>
      <c r="X305" s="5"/>
      <c r="Y305" s="5"/>
      <c r="Z305" s="5"/>
    </row>
    <row r="306" ht="15.0" customHeight="1">
      <c r="A306" s="5"/>
      <c r="B306" s="72"/>
      <c r="C306" s="74"/>
      <c r="D306" s="74"/>
      <c r="E306" s="74"/>
      <c r="F306" s="74"/>
      <c r="G306" s="74"/>
      <c r="H306" s="74"/>
      <c r="I306" s="74"/>
      <c r="J306" s="76"/>
      <c r="K306" s="74"/>
      <c r="L306" s="166"/>
      <c r="M306" s="5"/>
      <c r="N306" s="5"/>
      <c r="O306" s="5"/>
      <c r="P306" s="5"/>
      <c r="Q306" s="5"/>
      <c r="R306" s="5"/>
      <c r="S306" s="5"/>
      <c r="T306" s="5"/>
      <c r="U306" s="5"/>
      <c r="V306" s="5"/>
      <c r="W306" s="5"/>
      <c r="X306" s="5"/>
      <c r="Y306" s="5"/>
      <c r="Z306" s="5"/>
    </row>
    <row r="307" ht="15.0" customHeight="1">
      <c r="A307" s="5"/>
      <c r="B307" s="72"/>
      <c r="C307" s="74"/>
      <c r="D307" s="74"/>
      <c r="E307" s="74"/>
      <c r="F307" s="74"/>
      <c r="G307" s="74"/>
      <c r="H307" s="74"/>
      <c r="I307" s="74"/>
      <c r="J307" s="76"/>
      <c r="K307" s="74"/>
      <c r="L307" s="166"/>
      <c r="M307" s="5"/>
      <c r="N307" s="5"/>
      <c r="O307" s="5"/>
      <c r="P307" s="5"/>
      <c r="Q307" s="5"/>
      <c r="R307" s="5"/>
      <c r="S307" s="5"/>
      <c r="T307" s="5"/>
      <c r="U307" s="5"/>
      <c r="V307" s="5"/>
      <c r="W307" s="5"/>
      <c r="X307" s="5"/>
      <c r="Y307" s="5"/>
      <c r="Z307" s="5"/>
    </row>
    <row r="308" ht="15.0" customHeight="1">
      <c r="A308" s="5"/>
      <c r="B308" s="72"/>
      <c r="C308" s="74"/>
      <c r="D308" s="74"/>
      <c r="E308" s="74"/>
      <c r="F308" s="74"/>
      <c r="G308" s="74"/>
      <c r="H308" s="74"/>
      <c r="I308" s="74"/>
      <c r="J308" s="76"/>
      <c r="K308" s="74"/>
      <c r="L308" s="166"/>
      <c r="M308" s="5"/>
      <c r="N308" s="5"/>
      <c r="O308" s="5"/>
      <c r="P308" s="5"/>
      <c r="Q308" s="5"/>
      <c r="R308" s="5"/>
      <c r="S308" s="5"/>
      <c r="T308" s="5"/>
      <c r="U308" s="5"/>
      <c r="V308" s="5"/>
      <c r="W308" s="5"/>
      <c r="X308" s="5"/>
      <c r="Y308" s="5"/>
      <c r="Z308" s="5"/>
    </row>
    <row r="309" ht="15.0" customHeight="1">
      <c r="A309" s="5"/>
      <c r="B309" s="72"/>
      <c r="C309" s="74"/>
      <c r="D309" s="74"/>
      <c r="E309" s="74"/>
      <c r="F309" s="74"/>
      <c r="G309" s="74"/>
      <c r="H309" s="74"/>
      <c r="I309" s="74"/>
      <c r="J309" s="76"/>
      <c r="K309" s="74"/>
      <c r="L309" s="166"/>
      <c r="M309" s="5"/>
      <c r="N309" s="5"/>
      <c r="O309" s="5"/>
      <c r="P309" s="5"/>
      <c r="Q309" s="5"/>
      <c r="R309" s="5"/>
      <c r="S309" s="5"/>
      <c r="T309" s="5"/>
      <c r="U309" s="5"/>
      <c r="V309" s="5"/>
      <c r="W309" s="5"/>
      <c r="X309" s="5"/>
      <c r="Y309" s="5"/>
      <c r="Z309" s="5"/>
    </row>
    <row r="310" ht="15.0" customHeight="1">
      <c r="A310" s="5"/>
      <c r="B310" s="72"/>
      <c r="C310" s="74"/>
      <c r="D310" s="74"/>
      <c r="E310" s="74"/>
      <c r="F310" s="74"/>
      <c r="G310" s="74"/>
      <c r="H310" s="74"/>
      <c r="I310" s="74"/>
      <c r="J310" s="76"/>
      <c r="K310" s="74"/>
      <c r="L310" s="166"/>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9.5" customHeight="1">
      <c r="A312" s="5"/>
      <c r="B312" s="159" t="str">
        <f>"③  " &amp; "63E01141" &amp; "   —   " &amp; SUMPRODUCT((ISNUMBER($B$314:$B$323))*N($C$314:$C$323)) &amp; " vỏ · " &amp; TEXT(SUM($J$314:$J$323),"#,##0") &amp; "đ" &amp; IF(SUMIF($K$314:$K$323,"Chưa thanh toán",$J$314:$J$323)&gt;0," · còn nợ "&amp;TEXT(SUMIF($K$314:$K$323,"Chưa thanh toán",$J$314:$J$323),"#,##0")&amp;"đ","")</f>
        <v>③  63E01141   —   6 vỏ · 31.050.000đ</v>
      </c>
      <c r="C312" s="2"/>
      <c r="D312" s="2"/>
      <c r="E312" s="2"/>
      <c r="F312" s="2"/>
      <c r="G312" s="2"/>
      <c r="H312" s="2"/>
      <c r="I312" s="2"/>
      <c r="J312" s="2"/>
      <c r="K312" s="2"/>
      <c r="L312" s="4"/>
      <c r="M312" s="5"/>
      <c r="N312" s="5"/>
      <c r="O312" s="5"/>
      <c r="P312" s="5"/>
      <c r="Q312" s="5"/>
      <c r="R312" s="5"/>
      <c r="S312" s="5"/>
      <c r="T312" s="5"/>
      <c r="U312" s="5"/>
      <c r="V312" s="5"/>
      <c r="W312" s="5"/>
      <c r="X312" s="5"/>
      <c r="Y312" s="5"/>
      <c r="Z312" s="5"/>
    </row>
    <row r="313" ht="25.5" customHeight="1">
      <c r="A313" s="5"/>
      <c r="B313" s="40" t="s">
        <v>127</v>
      </c>
      <c r="C313" s="40" t="s">
        <v>177</v>
      </c>
      <c r="D313" s="40" t="s">
        <v>178</v>
      </c>
      <c r="E313" s="40" t="s">
        <v>179</v>
      </c>
      <c r="F313" s="40" t="s">
        <v>180</v>
      </c>
      <c r="G313" s="40" t="s">
        <v>181</v>
      </c>
      <c r="H313" s="40" t="s">
        <v>182</v>
      </c>
      <c r="I313" s="40" t="s">
        <v>48</v>
      </c>
      <c r="J313" s="40" t="s">
        <v>49</v>
      </c>
      <c r="K313" s="40" t="s">
        <v>50</v>
      </c>
      <c r="L313" s="40" t="s">
        <v>19</v>
      </c>
      <c r="M313" s="5"/>
      <c r="N313" s="5"/>
      <c r="O313" s="5"/>
      <c r="P313" s="5"/>
      <c r="Q313" s="5"/>
      <c r="R313" s="5"/>
      <c r="S313" s="5"/>
      <c r="T313" s="5"/>
      <c r="U313" s="5"/>
      <c r="V313" s="5"/>
      <c r="W313" s="5"/>
      <c r="X313" s="5"/>
      <c r="Y313" s="5"/>
      <c r="Z313" s="5"/>
    </row>
    <row r="314" ht="15.0" customHeight="1">
      <c r="A314" s="5"/>
      <c r="B314" s="52">
        <v>46055.0</v>
      </c>
      <c r="C314" s="54">
        <v>2.0</v>
      </c>
      <c r="D314" s="54"/>
      <c r="E314" s="54"/>
      <c r="F314" s="54"/>
      <c r="G314" s="54" t="s">
        <v>188</v>
      </c>
      <c r="H314" s="54" t="s">
        <v>269</v>
      </c>
      <c r="I314" s="54"/>
      <c r="J314" s="55">
        <v>8400000.0</v>
      </c>
      <c r="K314" s="54" t="s">
        <v>53</v>
      </c>
      <c r="L314" s="160" t="s">
        <v>270</v>
      </c>
      <c r="M314" s="5"/>
      <c r="N314" s="5"/>
      <c r="O314" s="5"/>
      <c r="P314" s="5"/>
      <c r="Q314" s="5"/>
      <c r="R314" s="5"/>
      <c r="S314" s="5"/>
      <c r="T314" s="5"/>
      <c r="U314" s="5"/>
      <c r="V314" s="5"/>
      <c r="W314" s="5"/>
      <c r="X314" s="5"/>
      <c r="Y314" s="5"/>
      <c r="Z314" s="5"/>
    </row>
    <row r="315" ht="15.0" customHeight="1">
      <c r="A315" s="5"/>
      <c r="B315" s="52">
        <v>46197.0</v>
      </c>
      <c r="C315" s="54">
        <v>2.0</v>
      </c>
      <c r="D315" s="54"/>
      <c r="E315" s="54"/>
      <c r="F315" s="54"/>
      <c r="G315" s="54" t="s">
        <v>198</v>
      </c>
      <c r="H315" s="54"/>
      <c r="I315" s="54" t="s">
        <v>276</v>
      </c>
      <c r="J315" s="55">
        <v>1.185E7</v>
      </c>
      <c r="K315" s="54" t="s">
        <v>53</v>
      </c>
      <c r="L315" s="160" t="s">
        <v>277</v>
      </c>
      <c r="M315" s="5"/>
      <c r="N315" s="5"/>
      <c r="O315" s="5"/>
      <c r="P315" s="5"/>
      <c r="Q315" s="5"/>
      <c r="R315" s="5"/>
      <c r="S315" s="5"/>
      <c r="T315" s="5"/>
      <c r="U315" s="5"/>
      <c r="V315" s="5"/>
      <c r="W315" s="5"/>
      <c r="X315" s="5"/>
      <c r="Y315" s="5"/>
      <c r="Z315" s="5"/>
    </row>
    <row r="316" ht="15.0" customHeight="1">
      <c r="A316" s="5"/>
      <c r="B316" s="180">
        <v>46244.0</v>
      </c>
      <c r="C316" s="173">
        <v>2.0</v>
      </c>
      <c r="D316" s="63"/>
      <c r="E316" s="63"/>
      <c r="F316" s="63"/>
      <c r="G316" s="173" t="s">
        <v>188</v>
      </c>
      <c r="H316" s="63"/>
      <c r="I316" s="63"/>
      <c r="J316" s="181">
        <v>1.08E7</v>
      </c>
      <c r="K316" s="173" t="s">
        <v>53</v>
      </c>
      <c r="L316" s="160" t="s">
        <v>270</v>
      </c>
      <c r="M316" s="5"/>
      <c r="N316" s="5"/>
      <c r="O316" s="5"/>
      <c r="P316" s="5"/>
      <c r="Q316" s="5"/>
      <c r="R316" s="5"/>
      <c r="S316" s="5"/>
      <c r="T316" s="5"/>
      <c r="U316" s="5"/>
      <c r="V316" s="5"/>
      <c r="W316" s="5"/>
      <c r="X316" s="5"/>
      <c r="Y316" s="5"/>
      <c r="Z316" s="5"/>
    </row>
    <row r="317" ht="15.0" customHeight="1">
      <c r="A317" s="5"/>
      <c r="B317" s="59"/>
      <c r="C317" s="63"/>
      <c r="D317" s="63"/>
      <c r="E317" s="63"/>
      <c r="F317" s="63"/>
      <c r="G317" s="63"/>
      <c r="H317" s="63"/>
      <c r="I317" s="63"/>
      <c r="J317" s="65"/>
      <c r="K317" s="63"/>
      <c r="L317" s="161"/>
      <c r="M317" s="5"/>
      <c r="N317" s="5"/>
      <c r="O317" s="5"/>
      <c r="P317" s="5"/>
      <c r="Q317" s="5"/>
      <c r="R317" s="5"/>
      <c r="S317" s="5"/>
      <c r="T317" s="5"/>
      <c r="U317" s="5"/>
      <c r="V317" s="5"/>
      <c r="W317" s="5"/>
      <c r="X317" s="5"/>
      <c r="Y317" s="5"/>
      <c r="Z317" s="5"/>
    </row>
    <row r="318" ht="15.0" customHeight="1">
      <c r="A318" s="5"/>
      <c r="B318" s="59"/>
      <c r="C318" s="63"/>
      <c r="D318" s="63"/>
      <c r="E318" s="63"/>
      <c r="F318" s="63"/>
      <c r="G318" s="63"/>
      <c r="H318" s="63"/>
      <c r="I318" s="63"/>
      <c r="J318" s="65"/>
      <c r="K318" s="63"/>
      <c r="L318" s="161"/>
      <c r="M318" s="5"/>
      <c r="N318" s="5"/>
      <c r="O318" s="5"/>
      <c r="P318" s="5"/>
      <c r="Q318" s="5"/>
      <c r="R318" s="5"/>
      <c r="S318" s="5"/>
      <c r="T318" s="5"/>
      <c r="U318" s="5"/>
      <c r="V318" s="5"/>
      <c r="W318" s="5"/>
      <c r="X318" s="5"/>
      <c r="Y318" s="5"/>
      <c r="Z318" s="5"/>
    </row>
    <row r="319" ht="15.0" customHeight="1">
      <c r="A319" s="5"/>
      <c r="B319" s="59"/>
      <c r="C319" s="63"/>
      <c r="D319" s="63"/>
      <c r="E319" s="63"/>
      <c r="F319" s="63"/>
      <c r="G319" s="63"/>
      <c r="H319" s="63"/>
      <c r="I319" s="63"/>
      <c r="J319" s="65"/>
      <c r="K319" s="63"/>
      <c r="L319" s="161"/>
      <c r="M319" s="5"/>
      <c r="N319" s="5"/>
      <c r="O319" s="5"/>
      <c r="P319" s="5"/>
      <c r="Q319" s="5"/>
      <c r="R319" s="5"/>
      <c r="S319" s="5"/>
      <c r="T319" s="5"/>
      <c r="U319" s="5"/>
      <c r="V319" s="5"/>
      <c r="W319" s="5"/>
      <c r="X319" s="5"/>
      <c r="Y319" s="5"/>
      <c r="Z319" s="5"/>
    </row>
    <row r="320" ht="15.0" customHeight="1">
      <c r="A320" s="5"/>
      <c r="B320" s="59"/>
      <c r="C320" s="63"/>
      <c r="D320" s="63"/>
      <c r="E320" s="63"/>
      <c r="F320" s="63"/>
      <c r="G320" s="63"/>
      <c r="H320" s="63"/>
      <c r="I320" s="63"/>
      <c r="J320" s="65"/>
      <c r="K320" s="63"/>
      <c r="L320" s="161"/>
      <c r="M320" s="5"/>
      <c r="N320" s="5"/>
      <c r="O320" s="5"/>
      <c r="P320" s="5"/>
      <c r="Q320" s="5"/>
      <c r="R320" s="5"/>
      <c r="S320" s="5"/>
      <c r="T320" s="5"/>
      <c r="U320" s="5"/>
      <c r="V320" s="5"/>
      <c r="W320" s="5"/>
      <c r="X320" s="5"/>
      <c r="Y320" s="5"/>
      <c r="Z320" s="5"/>
    </row>
    <row r="321" ht="15.0" customHeight="1">
      <c r="A321" s="5"/>
      <c r="B321" s="59"/>
      <c r="C321" s="63"/>
      <c r="D321" s="63"/>
      <c r="E321" s="63"/>
      <c r="F321" s="63"/>
      <c r="G321" s="63"/>
      <c r="H321" s="63"/>
      <c r="I321" s="63"/>
      <c r="J321" s="65"/>
      <c r="K321" s="63"/>
      <c r="L321" s="161"/>
      <c r="M321" s="5"/>
      <c r="N321" s="5"/>
      <c r="O321" s="5"/>
      <c r="P321" s="5"/>
      <c r="Q321" s="5"/>
      <c r="R321" s="5"/>
      <c r="S321" s="5"/>
      <c r="T321" s="5"/>
      <c r="U321" s="5"/>
      <c r="V321" s="5"/>
      <c r="W321" s="5"/>
      <c r="X321" s="5"/>
      <c r="Y321" s="5"/>
      <c r="Z321" s="5"/>
    </row>
    <row r="322" ht="15.0" customHeight="1">
      <c r="A322" s="5"/>
      <c r="B322" s="59"/>
      <c r="C322" s="63"/>
      <c r="D322" s="63"/>
      <c r="E322" s="63"/>
      <c r="F322" s="63"/>
      <c r="G322" s="63"/>
      <c r="H322" s="63"/>
      <c r="I322" s="63"/>
      <c r="J322" s="65"/>
      <c r="K322" s="63"/>
      <c r="L322" s="161"/>
      <c r="M322" s="5"/>
      <c r="N322" s="5"/>
      <c r="O322" s="5"/>
      <c r="P322" s="5"/>
      <c r="Q322" s="5"/>
      <c r="R322" s="5"/>
      <c r="S322" s="5"/>
      <c r="T322" s="5"/>
      <c r="U322" s="5"/>
      <c r="V322" s="5"/>
      <c r="W322" s="5"/>
      <c r="X322" s="5"/>
      <c r="Y322" s="5"/>
      <c r="Z322" s="5"/>
    </row>
    <row r="323" ht="15.0" customHeight="1">
      <c r="A323" s="5"/>
      <c r="B323" s="59"/>
      <c r="C323" s="63"/>
      <c r="D323" s="63"/>
      <c r="E323" s="63"/>
      <c r="F323" s="63"/>
      <c r="G323" s="63"/>
      <c r="H323" s="63"/>
      <c r="I323" s="63"/>
      <c r="J323" s="65"/>
      <c r="K323" s="63"/>
      <c r="L323" s="161"/>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9.5" customHeight="1">
      <c r="A325" s="5"/>
      <c r="B325" s="159" t="str">
        <f>"③  " &amp; "63E01212" &amp; "   —   " &amp; SUMPRODUCT((ISNUMBER($B$327:$B$339))*N($C$327:$C$339)) &amp; " vỏ · " &amp; TEXT(SUM($J$327:$J$339),"#,##0") &amp; "đ" &amp; IF(SUMIF($K$327:$K$339,"Chưa thanh toán",$J$327:$J$339)&gt;0," · còn nợ "&amp;TEXT(SUMIF($K$327:$K$339,"Chưa thanh toán",$J$327:$J$339),"#,##0")&amp;"đ","")</f>
        <v>③  63E01212   —   8 vỏ · 36.200.000đ</v>
      </c>
      <c r="C325" s="2"/>
      <c r="D325" s="2"/>
      <c r="E325" s="2"/>
      <c r="F325" s="2"/>
      <c r="G325" s="2"/>
      <c r="H325" s="2"/>
      <c r="I325" s="2"/>
      <c r="J325" s="2"/>
      <c r="K325" s="2"/>
      <c r="L325" s="4"/>
      <c r="M325" s="5"/>
      <c r="N325" s="5"/>
      <c r="O325" s="5"/>
      <c r="P325" s="5"/>
      <c r="Q325" s="5"/>
      <c r="R325" s="5"/>
      <c r="S325" s="5"/>
      <c r="T325" s="5"/>
      <c r="U325" s="5"/>
      <c r="V325" s="5"/>
      <c r="W325" s="5"/>
      <c r="X325" s="5"/>
      <c r="Y325" s="5"/>
      <c r="Z325" s="5"/>
    </row>
    <row r="326" ht="25.5" customHeight="1">
      <c r="A326" s="5"/>
      <c r="B326" s="70" t="s">
        <v>127</v>
      </c>
      <c r="C326" s="70" t="s">
        <v>177</v>
      </c>
      <c r="D326" s="70" t="s">
        <v>178</v>
      </c>
      <c r="E326" s="70" t="s">
        <v>179</v>
      </c>
      <c r="F326" s="70" t="s">
        <v>180</v>
      </c>
      <c r="G326" s="70" t="s">
        <v>181</v>
      </c>
      <c r="H326" s="70" t="s">
        <v>182</v>
      </c>
      <c r="I326" s="70" t="s">
        <v>48</v>
      </c>
      <c r="J326" s="70" t="s">
        <v>49</v>
      </c>
      <c r="K326" s="70" t="s">
        <v>50</v>
      </c>
      <c r="L326" s="70" t="s">
        <v>19</v>
      </c>
      <c r="M326" s="5"/>
      <c r="N326" s="5"/>
      <c r="O326" s="5"/>
      <c r="P326" s="5"/>
      <c r="Q326" s="5"/>
      <c r="R326" s="5"/>
      <c r="S326" s="5"/>
      <c r="T326" s="5"/>
      <c r="U326" s="5"/>
      <c r="V326" s="5"/>
      <c r="W326" s="5"/>
      <c r="X326" s="5"/>
      <c r="Y326" s="5"/>
      <c r="Z326" s="5"/>
    </row>
    <row r="327" ht="15.0" customHeight="1">
      <c r="A327" s="5"/>
      <c r="B327" s="52">
        <v>46062.0</v>
      </c>
      <c r="C327" s="54">
        <v>2.0</v>
      </c>
      <c r="D327" s="54"/>
      <c r="E327" s="54"/>
      <c r="F327" s="54"/>
      <c r="G327" s="54" t="s">
        <v>186</v>
      </c>
      <c r="H327" s="54"/>
      <c r="I327" s="54"/>
      <c r="J327" s="55">
        <v>8500000.0</v>
      </c>
      <c r="K327" s="54" t="s">
        <v>53</v>
      </c>
      <c r="L327" s="160" t="s">
        <v>212</v>
      </c>
      <c r="M327" s="5"/>
      <c r="N327" s="5"/>
      <c r="O327" s="5"/>
      <c r="P327" s="5"/>
      <c r="Q327" s="5"/>
      <c r="R327" s="5"/>
      <c r="S327" s="5"/>
      <c r="T327" s="5"/>
      <c r="U327" s="5"/>
      <c r="V327" s="5"/>
      <c r="W327" s="5"/>
      <c r="X327" s="5"/>
      <c r="Y327" s="5"/>
      <c r="Z327" s="5"/>
    </row>
    <row r="328" ht="15.0" customHeight="1">
      <c r="A328" s="5"/>
      <c r="B328" s="52">
        <v>46100.0</v>
      </c>
      <c r="C328" s="54">
        <v>2.0</v>
      </c>
      <c r="D328" s="54"/>
      <c r="E328" s="54"/>
      <c r="F328" s="54"/>
      <c r="G328" s="54" t="s">
        <v>193</v>
      </c>
      <c r="H328" s="54"/>
      <c r="I328" s="54"/>
      <c r="J328" s="55">
        <v>8400000.0</v>
      </c>
      <c r="K328" s="54" t="s">
        <v>53</v>
      </c>
      <c r="L328" s="160" t="s">
        <v>239</v>
      </c>
      <c r="M328" s="5"/>
      <c r="N328" s="5"/>
      <c r="O328" s="5"/>
      <c r="P328" s="5"/>
      <c r="Q328" s="5"/>
      <c r="R328" s="5"/>
      <c r="S328" s="5"/>
      <c r="T328" s="5"/>
      <c r="U328" s="5"/>
      <c r="V328" s="5"/>
      <c r="W328" s="5"/>
      <c r="X328" s="5"/>
      <c r="Y328" s="5"/>
      <c r="Z328" s="5"/>
    </row>
    <row r="329" ht="15.0" customHeight="1">
      <c r="A329" s="5"/>
      <c r="B329" s="52">
        <v>46110.0</v>
      </c>
      <c r="C329" s="54">
        <v>2.0</v>
      </c>
      <c r="D329" s="54"/>
      <c r="E329" s="54"/>
      <c r="F329" s="54"/>
      <c r="G329" s="54" t="s">
        <v>198</v>
      </c>
      <c r="H329" s="54"/>
      <c r="I329" s="54" t="s">
        <v>278</v>
      </c>
      <c r="J329" s="55">
        <v>9600000.0</v>
      </c>
      <c r="K329" s="54" t="s">
        <v>53</v>
      </c>
      <c r="L329" s="160" t="s">
        <v>230</v>
      </c>
      <c r="M329" s="5"/>
      <c r="N329" s="5"/>
      <c r="O329" s="5"/>
      <c r="P329" s="5"/>
      <c r="Q329" s="5"/>
      <c r="R329" s="5"/>
      <c r="S329" s="5"/>
      <c r="T329" s="5"/>
      <c r="U329" s="5"/>
      <c r="V329" s="5"/>
      <c r="W329" s="5"/>
      <c r="X329" s="5"/>
      <c r="Y329" s="5"/>
      <c r="Z329" s="5"/>
    </row>
    <row r="330" ht="15.0" customHeight="1">
      <c r="A330" s="5"/>
      <c r="B330" s="52">
        <v>46158.0</v>
      </c>
      <c r="C330" s="54">
        <v>2.0</v>
      </c>
      <c r="D330" s="54"/>
      <c r="E330" s="54"/>
      <c r="F330" s="54"/>
      <c r="G330" s="54" t="s">
        <v>198</v>
      </c>
      <c r="H330" s="54"/>
      <c r="I330" s="54" t="s">
        <v>279</v>
      </c>
      <c r="J330" s="55">
        <v>9700000.0</v>
      </c>
      <c r="K330" s="54" t="s">
        <v>53</v>
      </c>
      <c r="L330" s="160" t="s">
        <v>230</v>
      </c>
      <c r="M330" s="5"/>
      <c r="N330" s="5"/>
      <c r="O330" s="5"/>
      <c r="P330" s="5"/>
      <c r="Q330" s="5"/>
      <c r="R330" s="5"/>
      <c r="S330" s="5"/>
      <c r="T330" s="5"/>
      <c r="U330" s="5"/>
      <c r="V330" s="5"/>
      <c r="W330" s="5"/>
      <c r="X330" s="5"/>
      <c r="Y330" s="5"/>
      <c r="Z330" s="5"/>
    </row>
    <row r="331" ht="15.0" customHeight="1">
      <c r="A331" s="5"/>
      <c r="B331" s="52"/>
      <c r="C331" s="54"/>
      <c r="D331" s="54"/>
      <c r="E331" s="54"/>
      <c r="F331" s="54"/>
      <c r="G331" s="54"/>
      <c r="H331" s="54"/>
      <c r="I331" s="54"/>
      <c r="J331" s="55"/>
      <c r="K331" s="54"/>
      <c r="L331" s="160"/>
      <c r="M331" s="5"/>
      <c r="N331" s="5"/>
      <c r="O331" s="5"/>
      <c r="P331" s="5"/>
      <c r="Q331" s="5"/>
      <c r="R331" s="5"/>
      <c r="S331" s="5"/>
      <c r="T331" s="5"/>
      <c r="U331" s="5"/>
      <c r="V331" s="5"/>
      <c r="W331" s="5"/>
      <c r="X331" s="5"/>
      <c r="Y331" s="5"/>
      <c r="Z331" s="5"/>
    </row>
    <row r="332" ht="15.0" customHeight="1">
      <c r="A332" s="5"/>
      <c r="B332" s="72"/>
      <c r="C332" s="74"/>
      <c r="D332" s="74"/>
      <c r="E332" s="74"/>
      <c r="F332" s="74"/>
      <c r="G332" s="74"/>
      <c r="H332" s="74"/>
      <c r="I332" s="74"/>
      <c r="J332" s="76"/>
      <c r="K332" s="74"/>
      <c r="L332" s="166"/>
      <c r="M332" s="5"/>
      <c r="N332" s="5"/>
      <c r="O332" s="5"/>
      <c r="P332" s="5"/>
      <c r="Q332" s="5"/>
      <c r="R332" s="5"/>
      <c r="S332" s="5"/>
      <c r="T332" s="5"/>
      <c r="U332" s="5"/>
      <c r="V332" s="5"/>
      <c r="W332" s="5"/>
      <c r="X332" s="5"/>
      <c r="Y332" s="5"/>
      <c r="Z332" s="5"/>
    </row>
    <row r="333" ht="15.0" customHeight="1">
      <c r="A333" s="5"/>
      <c r="B333" s="72"/>
      <c r="C333" s="74"/>
      <c r="D333" s="74"/>
      <c r="E333" s="74"/>
      <c r="F333" s="74"/>
      <c r="G333" s="74"/>
      <c r="H333" s="74"/>
      <c r="I333" s="74"/>
      <c r="J333" s="76"/>
      <c r="K333" s="74"/>
      <c r="L333" s="166"/>
      <c r="M333" s="5"/>
      <c r="N333" s="5"/>
      <c r="O333" s="5"/>
      <c r="P333" s="5"/>
      <c r="Q333" s="5"/>
      <c r="R333" s="5"/>
      <c r="S333" s="5"/>
      <c r="T333" s="5"/>
      <c r="U333" s="5"/>
      <c r="V333" s="5"/>
      <c r="W333" s="5"/>
      <c r="X333" s="5"/>
      <c r="Y333" s="5"/>
      <c r="Z333" s="5"/>
    </row>
    <row r="334" ht="15.0" customHeight="1">
      <c r="A334" s="5"/>
      <c r="B334" s="72"/>
      <c r="C334" s="74"/>
      <c r="D334" s="74"/>
      <c r="E334" s="74"/>
      <c r="F334" s="74"/>
      <c r="G334" s="74"/>
      <c r="H334" s="74"/>
      <c r="I334" s="74"/>
      <c r="J334" s="76"/>
      <c r="K334" s="74"/>
      <c r="L334" s="166"/>
      <c r="M334" s="5"/>
      <c r="N334" s="5"/>
      <c r="O334" s="5"/>
      <c r="P334" s="5"/>
      <c r="Q334" s="5"/>
      <c r="R334" s="5"/>
      <c r="S334" s="5"/>
      <c r="T334" s="5"/>
      <c r="U334" s="5"/>
      <c r="V334" s="5"/>
      <c r="W334" s="5"/>
      <c r="X334" s="5"/>
      <c r="Y334" s="5"/>
      <c r="Z334" s="5"/>
    </row>
    <row r="335" ht="15.0" customHeight="1">
      <c r="A335" s="5"/>
      <c r="B335" s="72"/>
      <c r="C335" s="74"/>
      <c r="D335" s="74"/>
      <c r="E335" s="74"/>
      <c r="F335" s="74"/>
      <c r="G335" s="74"/>
      <c r="H335" s="74"/>
      <c r="I335" s="74"/>
      <c r="J335" s="76"/>
      <c r="K335" s="74"/>
      <c r="L335" s="166"/>
      <c r="M335" s="5"/>
      <c r="N335" s="5"/>
      <c r="O335" s="5"/>
      <c r="P335" s="5"/>
      <c r="Q335" s="5"/>
      <c r="R335" s="5"/>
      <c r="S335" s="5"/>
      <c r="T335" s="5"/>
      <c r="U335" s="5"/>
      <c r="V335" s="5"/>
      <c r="W335" s="5"/>
      <c r="X335" s="5"/>
      <c r="Y335" s="5"/>
      <c r="Z335" s="5"/>
    </row>
    <row r="336" ht="15.0" customHeight="1">
      <c r="A336" s="5"/>
      <c r="B336" s="72"/>
      <c r="C336" s="74"/>
      <c r="D336" s="74"/>
      <c r="E336" s="74"/>
      <c r="F336" s="74"/>
      <c r="G336" s="74"/>
      <c r="H336" s="74"/>
      <c r="I336" s="74"/>
      <c r="J336" s="76"/>
      <c r="K336" s="74"/>
      <c r="L336" s="166"/>
      <c r="M336" s="5"/>
      <c r="N336" s="5"/>
      <c r="O336" s="5"/>
      <c r="P336" s="5"/>
      <c r="Q336" s="5"/>
      <c r="R336" s="5"/>
      <c r="S336" s="5"/>
      <c r="T336" s="5"/>
      <c r="U336" s="5"/>
      <c r="V336" s="5"/>
      <c r="W336" s="5"/>
      <c r="X336" s="5"/>
      <c r="Y336" s="5"/>
      <c r="Z336" s="5"/>
    </row>
    <row r="337" ht="15.0" customHeight="1">
      <c r="A337" s="5"/>
      <c r="B337" s="72"/>
      <c r="C337" s="74"/>
      <c r="D337" s="74"/>
      <c r="E337" s="74"/>
      <c r="F337" s="74"/>
      <c r="G337" s="74"/>
      <c r="H337" s="74"/>
      <c r="I337" s="74"/>
      <c r="J337" s="76"/>
      <c r="K337" s="74"/>
      <c r="L337" s="166"/>
      <c r="M337" s="5"/>
      <c r="N337" s="5"/>
      <c r="O337" s="5"/>
      <c r="P337" s="5"/>
      <c r="Q337" s="5"/>
      <c r="R337" s="5"/>
      <c r="S337" s="5"/>
      <c r="T337" s="5"/>
      <c r="U337" s="5"/>
      <c r="V337" s="5"/>
      <c r="W337" s="5"/>
      <c r="X337" s="5"/>
      <c r="Y337" s="5"/>
      <c r="Z337" s="5"/>
    </row>
    <row r="338" ht="15.0" customHeight="1">
      <c r="A338" s="5"/>
      <c r="B338" s="72"/>
      <c r="C338" s="74"/>
      <c r="D338" s="74"/>
      <c r="E338" s="74"/>
      <c r="F338" s="74"/>
      <c r="G338" s="74"/>
      <c r="H338" s="74"/>
      <c r="I338" s="74"/>
      <c r="J338" s="76"/>
      <c r="K338" s="74"/>
      <c r="L338" s="166"/>
      <c r="M338" s="5"/>
      <c r="N338" s="5"/>
      <c r="O338" s="5"/>
      <c r="P338" s="5"/>
      <c r="Q338" s="5"/>
      <c r="R338" s="5"/>
      <c r="S338" s="5"/>
      <c r="T338" s="5"/>
      <c r="U338" s="5"/>
      <c r="V338" s="5"/>
      <c r="W338" s="5"/>
      <c r="X338" s="5"/>
      <c r="Y338" s="5"/>
      <c r="Z338" s="5"/>
    </row>
    <row r="339" ht="15.0" customHeight="1">
      <c r="A339" s="5"/>
      <c r="B339" s="72"/>
      <c r="C339" s="74"/>
      <c r="D339" s="74"/>
      <c r="E339" s="74"/>
      <c r="F339" s="74"/>
      <c r="G339" s="74"/>
      <c r="H339" s="74"/>
      <c r="I339" s="74"/>
      <c r="J339" s="76"/>
      <c r="K339" s="74"/>
      <c r="L339" s="166"/>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9.5" customHeight="1">
      <c r="A341" s="5"/>
      <c r="B341" s="159" t="str">
        <f>"③  " &amp; "63G00280" &amp; "   —   " &amp; SUMPRODUCT((ISNUMBER($B$343:$B$351))*N($C$343:$C$351)) &amp; " vỏ · " &amp; TEXT(SUM($J$343:$J$351),"#,##0") &amp; "đ" &amp; IF(SUMIF($K$343:$K$351,"Chưa thanh toán",$J$343:$J$351)&gt;0," · còn nợ "&amp;TEXT(SUMIF($K$343:$K$351,"Chưa thanh toán",$J$343:$J$351),"#,##0")&amp;"đ","")</f>
        <v>③  63G00280   —   0 vỏ · 0đ</v>
      </c>
      <c r="C341" s="2"/>
      <c r="D341" s="2"/>
      <c r="E341" s="2"/>
      <c r="F341" s="2"/>
      <c r="G341" s="2"/>
      <c r="H341" s="2"/>
      <c r="I341" s="2"/>
      <c r="J341" s="2"/>
      <c r="K341" s="2"/>
      <c r="L341" s="4"/>
      <c r="M341" s="5"/>
      <c r="N341" s="5"/>
      <c r="O341" s="5"/>
      <c r="P341" s="5"/>
      <c r="Q341" s="5"/>
      <c r="R341" s="5"/>
      <c r="S341" s="5"/>
      <c r="T341" s="5"/>
      <c r="U341" s="5"/>
      <c r="V341" s="5"/>
      <c r="W341" s="5"/>
      <c r="X341" s="5"/>
      <c r="Y341" s="5"/>
      <c r="Z341" s="5"/>
    </row>
    <row r="342" ht="25.5" customHeight="1">
      <c r="A342" s="5"/>
      <c r="B342" s="40" t="s">
        <v>127</v>
      </c>
      <c r="C342" s="40" t="s">
        <v>177</v>
      </c>
      <c r="D342" s="40" t="s">
        <v>178</v>
      </c>
      <c r="E342" s="40" t="s">
        <v>179</v>
      </c>
      <c r="F342" s="40" t="s">
        <v>180</v>
      </c>
      <c r="G342" s="40" t="s">
        <v>181</v>
      </c>
      <c r="H342" s="40" t="s">
        <v>182</v>
      </c>
      <c r="I342" s="40" t="s">
        <v>48</v>
      </c>
      <c r="J342" s="40" t="s">
        <v>49</v>
      </c>
      <c r="K342" s="40" t="s">
        <v>50</v>
      </c>
      <c r="L342" s="40" t="s">
        <v>19</v>
      </c>
      <c r="M342" s="5"/>
      <c r="N342" s="5"/>
      <c r="O342" s="5"/>
      <c r="P342" s="5"/>
      <c r="Q342" s="5"/>
      <c r="R342" s="5"/>
      <c r="S342" s="5"/>
      <c r="T342" s="5"/>
      <c r="U342" s="5"/>
      <c r="V342" s="5"/>
      <c r="W342" s="5"/>
      <c r="X342" s="5"/>
      <c r="Y342" s="5"/>
      <c r="Z342" s="5"/>
    </row>
    <row r="343" ht="15.0" customHeight="1">
      <c r="A343" s="5"/>
      <c r="B343" s="59"/>
      <c r="C343" s="63"/>
      <c r="D343" s="63"/>
      <c r="E343" s="63"/>
      <c r="F343" s="63"/>
      <c r="G343" s="63"/>
      <c r="H343" s="63"/>
      <c r="I343" s="63"/>
      <c r="J343" s="65"/>
      <c r="K343" s="63"/>
      <c r="L343" s="161"/>
      <c r="M343" s="5"/>
      <c r="N343" s="5"/>
      <c r="O343" s="5"/>
      <c r="P343" s="5"/>
      <c r="Q343" s="5"/>
      <c r="R343" s="5"/>
      <c r="S343" s="5"/>
      <c r="T343" s="5"/>
      <c r="U343" s="5"/>
      <c r="V343" s="5"/>
      <c r="W343" s="5"/>
      <c r="X343" s="5"/>
      <c r="Y343" s="5"/>
      <c r="Z343" s="5"/>
    </row>
    <row r="344" ht="15.0" customHeight="1">
      <c r="A344" s="5"/>
      <c r="B344" s="59"/>
      <c r="C344" s="63"/>
      <c r="D344" s="63"/>
      <c r="E344" s="63"/>
      <c r="F344" s="63"/>
      <c r="G344" s="63"/>
      <c r="H344" s="63"/>
      <c r="I344" s="63"/>
      <c r="J344" s="65"/>
      <c r="K344" s="63"/>
      <c r="L344" s="161"/>
      <c r="M344" s="5"/>
      <c r="N344" s="5"/>
      <c r="O344" s="5"/>
      <c r="P344" s="5"/>
      <c r="Q344" s="5"/>
      <c r="R344" s="5"/>
      <c r="S344" s="5"/>
      <c r="T344" s="5"/>
      <c r="U344" s="5"/>
      <c r="V344" s="5"/>
      <c r="W344" s="5"/>
      <c r="X344" s="5"/>
      <c r="Y344" s="5"/>
      <c r="Z344" s="5"/>
    </row>
    <row r="345" ht="15.0" customHeight="1">
      <c r="A345" s="5"/>
      <c r="B345" s="59"/>
      <c r="C345" s="63"/>
      <c r="D345" s="63"/>
      <c r="E345" s="63"/>
      <c r="F345" s="63"/>
      <c r="G345" s="63"/>
      <c r="H345" s="63"/>
      <c r="I345" s="63"/>
      <c r="J345" s="65"/>
      <c r="K345" s="63"/>
      <c r="L345" s="161"/>
      <c r="M345" s="5"/>
      <c r="N345" s="5"/>
      <c r="O345" s="5"/>
      <c r="P345" s="5"/>
      <c r="Q345" s="5"/>
      <c r="R345" s="5"/>
      <c r="S345" s="5"/>
      <c r="T345" s="5"/>
      <c r="U345" s="5"/>
      <c r="V345" s="5"/>
      <c r="W345" s="5"/>
      <c r="X345" s="5"/>
      <c r="Y345" s="5"/>
      <c r="Z345" s="5"/>
    </row>
    <row r="346" ht="15.0" customHeight="1">
      <c r="A346" s="5"/>
      <c r="B346" s="59"/>
      <c r="C346" s="63"/>
      <c r="D346" s="63"/>
      <c r="E346" s="63"/>
      <c r="F346" s="63"/>
      <c r="G346" s="63"/>
      <c r="H346" s="63"/>
      <c r="I346" s="63"/>
      <c r="J346" s="65"/>
      <c r="K346" s="63"/>
      <c r="L346" s="161"/>
      <c r="M346" s="5"/>
      <c r="N346" s="5"/>
      <c r="O346" s="5"/>
      <c r="P346" s="5"/>
      <c r="Q346" s="5"/>
      <c r="R346" s="5"/>
      <c r="S346" s="5"/>
      <c r="T346" s="5"/>
      <c r="U346" s="5"/>
      <c r="V346" s="5"/>
      <c r="W346" s="5"/>
      <c r="X346" s="5"/>
      <c r="Y346" s="5"/>
      <c r="Z346" s="5"/>
    </row>
    <row r="347" ht="15.0" customHeight="1">
      <c r="A347" s="5"/>
      <c r="B347" s="59"/>
      <c r="C347" s="63"/>
      <c r="D347" s="63"/>
      <c r="E347" s="63"/>
      <c r="F347" s="63"/>
      <c r="G347" s="63"/>
      <c r="H347" s="63"/>
      <c r="I347" s="63"/>
      <c r="J347" s="65"/>
      <c r="K347" s="63"/>
      <c r="L347" s="161"/>
      <c r="M347" s="5"/>
      <c r="N347" s="5"/>
      <c r="O347" s="5"/>
      <c r="P347" s="5"/>
      <c r="Q347" s="5"/>
      <c r="R347" s="5"/>
      <c r="S347" s="5"/>
      <c r="T347" s="5"/>
      <c r="U347" s="5"/>
      <c r="V347" s="5"/>
      <c r="W347" s="5"/>
      <c r="X347" s="5"/>
      <c r="Y347" s="5"/>
      <c r="Z347" s="5"/>
    </row>
    <row r="348" ht="15.0" customHeight="1">
      <c r="A348" s="5"/>
      <c r="B348" s="59"/>
      <c r="C348" s="63"/>
      <c r="D348" s="63"/>
      <c r="E348" s="63"/>
      <c r="F348" s="63"/>
      <c r="G348" s="63"/>
      <c r="H348" s="63"/>
      <c r="I348" s="63"/>
      <c r="J348" s="65"/>
      <c r="K348" s="63"/>
      <c r="L348" s="161"/>
      <c r="M348" s="5"/>
      <c r="N348" s="5"/>
      <c r="O348" s="5"/>
      <c r="P348" s="5"/>
      <c r="Q348" s="5"/>
      <c r="R348" s="5"/>
      <c r="S348" s="5"/>
      <c r="T348" s="5"/>
      <c r="U348" s="5"/>
      <c r="V348" s="5"/>
      <c r="W348" s="5"/>
      <c r="X348" s="5"/>
      <c r="Y348" s="5"/>
      <c r="Z348" s="5"/>
    </row>
    <row r="349" ht="15.0" customHeight="1">
      <c r="A349" s="5"/>
      <c r="B349" s="59"/>
      <c r="C349" s="63"/>
      <c r="D349" s="63"/>
      <c r="E349" s="63"/>
      <c r="F349" s="63"/>
      <c r="G349" s="63"/>
      <c r="H349" s="63"/>
      <c r="I349" s="63"/>
      <c r="J349" s="65"/>
      <c r="K349" s="63"/>
      <c r="L349" s="161"/>
      <c r="M349" s="5"/>
      <c r="N349" s="5"/>
      <c r="O349" s="5"/>
      <c r="P349" s="5"/>
      <c r="Q349" s="5"/>
      <c r="R349" s="5"/>
      <c r="S349" s="5"/>
      <c r="T349" s="5"/>
      <c r="U349" s="5"/>
      <c r="V349" s="5"/>
      <c r="W349" s="5"/>
      <c r="X349" s="5"/>
      <c r="Y349" s="5"/>
      <c r="Z349" s="5"/>
    </row>
    <row r="350" ht="15.0" customHeight="1">
      <c r="A350" s="5"/>
      <c r="B350" s="59"/>
      <c r="C350" s="63"/>
      <c r="D350" s="63"/>
      <c r="E350" s="63"/>
      <c r="F350" s="63"/>
      <c r="G350" s="63"/>
      <c r="H350" s="63"/>
      <c r="I350" s="63"/>
      <c r="J350" s="65"/>
      <c r="K350" s="63"/>
      <c r="L350" s="161"/>
      <c r="M350" s="5"/>
      <c r="N350" s="5"/>
      <c r="O350" s="5"/>
      <c r="P350" s="5"/>
      <c r="Q350" s="5"/>
      <c r="R350" s="5"/>
      <c r="S350" s="5"/>
      <c r="T350" s="5"/>
      <c r="U350" s="5"/>
      <c r="V350" s="5"/>
      <c r="W350" s="5"/>
      <c r="X350" s="5"/>
      <c r="Y350" s="5"/>
      <c r="Z350" s="5"/>
    </row>
    <row r="351" ht="15.0" customHeight="1">
      <c r="A351" s="5"/>
      <c r="B351" s="59"/>
      <c r="C351" s="63"/>
      <c r="D351" s="63"/>
      <c r="E351" s="63"/>
      <c r="F351" s="63"/>
      <c r="G351" s="63"/>
      <c r="H351" s="63"/>
      <c r="I351" s="63"/>
      <c r="J351" s="65"/>
      <c r="K351" s="63"/>
      <c r="L351" s="161"/>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9.5" customHeight="1">
      <c r="A353" s="5"/>
      <c r="B353" s="159" t="str">
        <f>"③  " &amp; "63H04236" &amp; "   —   " &amp; SUMPRODUCT((ISNUMBER($B$355:$B$363))*N($C$355:$C$363)) &amp; " vỏ · " &amp; TEXT(SUM($J$355:$J$363),"#,##0") &amp; "đ" &amp; IF(SUMIF($K$355:$K$363,"Chưa thanh toán",$J$355:$J$363)&gt;0," · còn nợ "&amp;TEXT(SUMIF($K$355:$K$363,"Chưa thanh toán",$J$355:$J$363),"#,##0")&amp;"đ","")</f>
        <v>③  63H04236   —   0 vỏ · 0đ</v>
      </c>
      <c r="C353" s="2"/>
      <c r="D353" s="2"/>
      <c r="E353" s="2"/>
      <c r="F353" s="2"/>
      <c r="G353" s="2"/>
      <c r="H353" s="2"/>
      <c r="I353" s="2"/>
      <c r="J353" s="2"/>
      <c r="K353" s="2"/>
      <c r="L353" s="4"/>
      <c r="M353" s="5"/>
      <c r="N353" s="5"/>
      <c r="O353" s="5"/>
      <c r="P353" s="5"/>
      <c r="Q353" s="5"/>
      <c r="R353" s="5"/>
      <c r="S353" s="5"/>
      <c r="T353" s="5"/>
      <c r="U353" s="5"/>
      <c r="V353" s="5"/>
      <c r="W353" s="5"/>
      <c r="X353" s="5"/>
      <c r="Y353" s="5"/>
      <c r="Z353" s="5"/>
    </row>
    <row r="354" ht="25.5" customHeight="1">
      <c r="A354" s="5"/>
      <c r="B354" s="70" t="s">
        <v>127</v>
      </c>
      <c r="C354" s="70" t="s">
        <v>177</v>
      </c>
      <c r="D354" s="70" t="s">
        <v>178</v>
      </c>
      <c r="E354" s="70" t="s">
        <v>179</v>
      </c>
      <c r="F354" s="70" t="s">
        <v>180</v>
      </c>
      <c r="G354" s="70" t="s">
        <v>181</v>
      </c>
      <c r="H354" s="70" t="s">
        <v>182</v>
      </c>
      <c r="I354" s="70" t="s">
        <v>48</v>
      </c>
      <c r="J354" s="70" t="s">
        <v>49</v>
      </c>
      <c r="K354" s="70" t="s">
        <v>50</v>
      </c>
      <c r="L354" s="70" t="s">
        <v>19</v>
      </c>
      <c r="M354" s="5"/>
      <c r="N354" s="5"/>
      <c r="O354" s="5"/>
      <c r="P354" s="5"/>
      <c r="Q354" s="5"/>
      <c r="R354" s="5"/>
      <c r="S354" s="5"/>
      <c r="T354" s="5"/>
      <c r="U354" s="5"/>
      <c r="V354" s="5"/>
      <c r="W354" s="5"/>
      <c r="X354" s="5"/>
      <c r="Y354" s="5"/>
      <c r="Z354" s="5"/>
    </row>
    <row r="355" ht="15.0" customHeight="1">
      <c r="A355" s="5"/>
      <c r="B355" s="72"/>
      <c r="C355" s="74"/>
      <c r="D355" s="74"/>
      <c r="E355" s="74"/>
      <c r="F355" s="74"/>
      <c r="G355" s="74"/>
      <c r="H355" s="74"/>
      <c r="I355" s="74"/>
      <c r="J355" s="76"/>
      <c r="K355" s="74"/>
      <c r="L355" s="166"/>
      <c r="M355" s="5"/>
      <c r="N355" s="5"/>
      <c r="O355" s="5"/>
      <c r="P355" s="5"/>
      <c r="Q355" s="5"/>
      <c r="R355" s="5"/>
      <c r="S355" s="5"/>
      <c r="T355" s="5"/>
      <c r="U355" s="5"/>
      <c r="V355" s="5"/>
      <c r="W355" s="5"/>
      <c r="X355" s="5"/>
      <c r="Y355" s="5"/>
      <c r="Z355" s="5"/>
    </row>
    <row r="356" ht="15.0" customHeight="1">
      <c r="A356" s="5"/>
      <c r="B356" s="72"/>
      <c r="C356" s="74"/>
      <c r="D356" s="74"/>
      <c r="E356" s="74"/>
      <c r="F356" s="74"/>
      <c r="G356" s="74"/>
      <c r="H356" s="74"/>
      <c r="I356" s="74"/>
      <c r="J356" s="76"/>
      <c r="K356" s="74"/>
      <c r="L356" s="166"/>
      <c r="M356" s="5"/>
      <c r="N356" s="5"/>
      <c r="O356" s="5"/>
      <c r="P356" s="5"/>
      <c r="Q356" s="5"/>
      <c r="R356" s="5"/>
      <c r="S356" s="5"/>
      <c r="T356" s="5"/>
      <c r="U356" s="5"/>
      <c r="V356" s="5"/>
      <c r="W356" s="5"/>
      <c r="X356" s="5"/>
      <c r="Y356" s="5"/>
      <c r="Z356" s="5"/>
    </row>
    <row r="357" ht="15.0" customHeight="1">
      <c r="A357" s="5"/>
      <c r="B357" s="72"/>
      <c r="C357" s="74"/>
      <c r="D357" s="74"/>
      <c r="E357" s="74"/>
      <c r="F357" s="74"/>
      <c r="G357" s="74"/>
      <c r="H357" s="74"/>
      <c r="I357" s="74"/>
      <c r="J357" s="76"/>
      <c r="K357" s="74"/>
      <c r="L357" s="166"/>
      <c r="M357" s="5"/>
      <c r="N357" s="5"/>
      <c r="O357" s="5"/>
      <c r="P357" s="5"/>
      <c r="Q357" s="5"/>
      <c r="R357" s="5"/>
      <c r="S357" s="5"/>
      <c r="T357" s="5"/>
      <c r="U357" s="5"/>
      <c r="V357" s="5"/>
      <c r="W357" s="5"/>
      <c r="X357" s="5"/>
      <c r="Y357" s="5"/>
      <c r="Z357" s="5"/>
    </row>
    <row r="358" ht="15.0" customHeight="1">
      <c r="A358" s="5"/>
      <c r="B358" s="72"/>
      <c r="C358" s="74"/>
      <c r="D358" s="74"/>
      <c r="E358" s="74"/>
      <c r="F358" s="74"/>
      <c r="G358" s="74"/>
      <c r="H358" s="74"/>
      <c r="I358" s="74"/>
      <c r="J358" s="76"/>
      <c r="K358" s="74"/>
      <c r="L358" s="166"/>
      <c r="M358" s="5"/>
      <c r="N358" s="5"/>
      <c r="O358" s="5"/>
      <c r="P358" s="5"/>
      <c r="Q358" s="5"/>
      <c r="R358" s="5"/>
      <c r="S358" s="5"/>
      <c r="T358" s="5"/>
      <c r="U358" s="5"/>
      <c r="V358" s="5"/>
      <c r="W358" s="5"/>
      <c r="X358" s="5"/>
      <c r="Y358" s="5"/>
      <c r="Z358" s="5"/>
    </row>
    <row r="359" ht="15.0" customHeight="1">
      <c r="A359" s="5"/>
      <c r="B359" s="72"/>
      <c r="C359" s="74"/>
      <c r="D359" s="74"/>
      <c r="E359" s="74"/>
      <c r="F359" s="74"/>
      <c r="G359" s="74"/>
      <c r="H359" s="74"/>
      <c r="I359" s="74"/>
      <c r="J359" s="76"/>
      <c r="K359" s="74"/>
      <c r="L359" s="166"/>
      <c r="M359" s="5"/>
      <c r="N359" s="5"/>
      <c r="O359" s="5"/>
      <c r="P359" s="5"/>
      <c r="Q359" s="5"/>
      <c r="R359" s="5"/>
      <c r="S359" s="5"/>
      <c r="T359" s="5"/>
      <c r="U359" s="5"/>
      <c r="V359" s="5"/>
      <c r="W359" s="5"/>
      <c r="X359" s="5"/>
      <c r="Y359" s="5"/>
      <c r="Z359" s="5"/>
    </row>
    <row r="360" ht="15.0" customHeight="1">
      <c r="A360" s="5"/>
      <c r="B360" s="72"/>
      <c r="C360" s="74"/>
      <c r="D360" s="74"/>
      <c r="E360" s="74"/>
      <c r="F360" s="74"/>
      <c r="G360" s="74"/>
      <c r="H360" s="74"/>
      <c r="I360" s="74"/>
      <c r="J360" s="76"/>
      <c r="K360" s="74"/>
      <c r="L360" s="166"/>
      <c r="M360" s="5"/>
      <c r="N360" s="5"/>
      <c r="O360" s="5"/>
      <c r="P360" s="5"/>
      <c r="Q360" s="5"/>
      <c r="R360" s="5"/>
      <c r="S360" s="5"/>
      <c r="T360" s="5"/>
      <c r="U360" s="5"/>
      <c r="V360" s="5"/>
      <c r="W360" s="5"/>
      <c r="X360" s="5"/>
      <c r="Y360" s="5"/>
      <c r="Z360" s="5"/>
    </row>
    <row r="361" ht="15.0" customHeight="1">
      <c r="A361" s="5"/>
      <c r="B361" s="72"/>
      <c r="C361" s="74"/>
      <c r="D361" s="74"/>
      <c r="E361" s="74"/>
      <c r="F361" s="74"/>
      <c r="G361" s="74"/>
      <c r="H361" s="74"/>
      <c r="I361" s="74"/>
      <c r="J361" s="76"/>
      <c r="K361" s="74"/>
      <c r="L361" s="166"/>
      <c r="M361" s="5"/>
      <c r="N361" s="5"/>
      <c r="O361" s="5"/>
      <c r="P361" s="5"/>
      <c r="Q361" s="5"/>
      <c r="R361" s="5"/>
      <c r="S361" s="5"/>
      <c r="T361" s="5"/>
      <c r="U361" s="5"/>
      <c r="V361" s="5"/>
      <c r="W361" s="5"/>
      <c r="X361" s="5"/>
      <c r="Y361" s="5"/>
      <c r="Z361" s="5"/>
    </row>
    <row r="362" ht="15.0" customHeight="1">
      <c r="A362" s="5"/>
      <c r="B362" s="72"/>
      <c r="C362" s="74"/>
      <c r="D362" s="74"/>
      <c r="E362" s="74"/>
      <c r="F362" s="74"/>
      <c r="G362" s="74"/>
      <c r="H362" s="74"/>
      <c r="I362" s="74"/>
      <c r="J362" s="76"/>
      <c r="K362" s="74"/>
      <c r="L362" s="166"/>
      <c r="M362" s="5"/>
      <c r="N362" s="5"/>
      <c r="O362" s="5"/>
      <c r="P362" s="5"/>
      <c r="Q362" s="5"/>
      <c r="R362" s="5"/>
      <c r="S362" s="5"/>
      <c r="T362" s="5"/>
      <c r="U362" s="5"/>
      <c r="V362" s="5"/>
      <c r="W362" s="5"/>
      <c r="X362" s="5"/>
      <c r="Y362" s="5"/>
      <c r="Z362" s="5"/>
    </row>
    <row r="363" ht="15.0" customHeight="1">
      <c r="A363" s="5"/>
      <c r="B363" s="72"/>
      <c r="C363" s="74"/>
      <c r="D363" s="74"/>
      <c r="E363" s="74"/>
      <c r="F363" s="74"/>
      <c r="G363" s="74"/>
      <c r="H363" s="74"/>
      <c r="I363" s="74"/>
      <c r="J363" s="76"/>
      <c r="K363" s="74"/>
      <c r="L363" s="166"/>
      <c r="M363" s="5"/>
      <c r="N363" s="5"/>
      <c r="O363" s="5"/>
      <c r="P363" s="5"/>
      <c r="Q363" s="5"/>
      <c r="R363" s="5"/>
      <c r="S363" s="5"/>
      <c r="T363" s="5"/>
      <c r="U363" s="5"/>
      <c r="V363" s="5"/>
      <c r="W363" s="5"/>
      <c r="X363" s="5"/>
      <c r="Y363" s="5"/>
      <c r="Z363" s="5"/>
    </row>
    <row r="364" ht="15.75" customHeight="1">
      <c r="A364" s="5"/>
      <c r="B364" s="159" t="str">
        <f>"③  " &amp; "66H08348" &amp; "   —   " &amp; SUMPRODUCT((ISNUMBER($B$366:$B$374))*N($C$366:$C$374)) &amp; " vỏ · " &amp; TEXT(SUM($J$366:$J$374),"#,##0") &amp; "đ" &amp; IF(SUMIF($K$366:$K$374,"Chưa thanh toán",$J$366:$J$374)&gt;0," · còn nợ "&amp;TEXT(SUMIF($K$366:$K$374,"Chưa thanh toán",$J$366:$J$374),"#,##0")&amp;"đ","")</f>
        <v>③  66H08348   —   0 vỏ · 0đ</v>
      </c>
      <c r="C364" s="2"/>
      <c r="D364" s="2"/>
      <c r="E364" s="2"/>
      <c r="F364" s="2"/>
      <c r="G364" s="2"/>
      <c r="H364" s="2"/>
      <c r="I364" s="2"/>
      <c r="J364" s="2"/>
      <c r="K364" s="2"/>
      <c r="L364" s="4"/>
      <c r="M364" s="5"/>
      <c r="N364" s="5"/>
      <c r="O364" s="5"/>
      <c r="P364" s="5"/>
      <c r="Q364" s="5"/>
      <c r="R364" s="5"/>
      <c r="S364" s="5"/>
      <c r="T364" s="5"/>
      <c r="U364" s="5"/>
      <c r="V364" s="5"/>
      <c r="W364" s="5"/>
      <c r="X364" s="5"/>
      <c r="Y364" s="5"/>
      <c r="Z364" s="5"/>
    </row>
    <row r="365" ht="15.75" customHeight="1">
      <c r="A365" s="5"/>
      <c r="B365" s="70" t="s">
        <v>127</v>
      </c>
      <c r="C365" s="70" t="s">
        <v>177</v>
      </c>
      <c r="D365" s="70" t="s">
        <v>178</v>
      </c>
      <c r="E365" s="70" t="s">
        <v>179</v>
      </c>
      <c r="F365" s="70" t="s">
        <v>180</v>
      </c>
      <c r="G365" s="70" t="s">
        <v>181</v>
      </c>
      <c r="H365" s="70" t="s">
        <v>182</v>
      </c>
      <c r="I365" s="70" t="s">
        <v>48</v>
      </c>
      <c r="J365" s="70" t="s">
        <v>49</v>
      </c>
      <c r="K365" s="70" t="s">
        <v>50</v>
      </c>
      <c r="L365" s="70" t="s">
        <v>19</v>
      </c>
      <c r="M365" s="5"/>
      <c r="N365" s="5"/>
      <c r="O365" s="5"/>
      <c r="P365" s="5"/>
      <c r="Q365" s="5"/>
      <c r="R365" s="5"/>
      <c r="S365" s="5"/>
      <c r="T365" s="5"/>
      <c r="U365" s="5"/>
      <c r="V365" s="5"/>
      <c r="W365" s="5"/>
      <c r="X365" s="5"/>
      <c r="Y365" s="5"/>
      <c r="Z365" s="5"/>
    </row>
    <row r="366" ht="15.75" customHeight="1">
      <c r="A366" s="5"/>
      <c r="B366" s="72"/>
      <c r="C366" s="74"/>
      <c r="D366" s="74"/>
      <c r="E366" s="74"/>
      <c r="F366" s="74"/>
      <c r="G366" s="74"/>
      <c r="H366" s="74"/>
      <c r="I366" s="74"/>
      <c r="J366" s="76"/>
      <c r="K366" s="74"/>
      <c r="L366" s="166"/>
      <c r="M366" s="5"/>
      <c r="N366" s="5"/>
      <c r="O366" s="5"/>
      <c r="P366" s="5"/>
      <c r="Q366" s="5"/>
      <c r="R366" s="5"/>
      <c r="S366" s="5"/>
      <c r="T366" s="5"/>
      <c r="U366" s="5"/>
      <c r="V366" s="5"/>
      <c r="W366" s="5"/>
      <c r="X366" s="5"/>
      <c r="Y366" s="5"/>
      <c r="Z366" s="5"/>
    </row>
    <row r="367" ht="15.75" customHeight="1">
      <c r="A367" s="5"/>
      <c r="B367" s="72"/>
      <c r="C367" s="74"/>
      <c r="D367" s="74"/>
      <c r="E367" s="74"/>
      <c r="F367" s="74"/>
      <c r="G367" s="74"/>
      <c r="H367" s="74"/>
      <c r="I367" s="74"/>
      <c r="J367" s="76"/>
      <c r="K367" s="74"/>
      <c r="L367" s="166"/>
      <c r="M367" s="5"/>
      <c r="N367" s="5"/>
      <c r="O367" s="5"/>
      <c r="P367" s="5"/>
      <c r="Q367" s="5"/>
      <c r="R367" s="5"/>
      <c r="S367" s="5"/>
      <c r="T367" s="5"/>
      <c r="U367" s="5"/>
      <c r="V367" s="5"/>
      <c r="W367" s="5"/>
      <c r="X367" s="5"/>
      <c r="Y367" s="5"/>
      <c r="Z367" s="5"/>
    </row>
    <row r="368" ht="15.75" customHeight="1">
      <c r="A368" s="5"/>
      <c r="B368" s="72"/>
      <c r="C368" s="74"/>
      <c r="D368" s="74"/>
      <c r="E368" s="74"/>
      <c r="F368" s="74"/>
      <c r="G368" s="74"/>
      <c r="H368" s="74"/>
      <c r="I368" s="74"/>
      <c r="J368" s="76"/>
      <c r="K368" s="74"/>
      <c r="L368" s="166"/>
      <c r="M368" s="5"/>
      <c r="N368" s="5"/>
      <c r="O368" s="5"/>
      <c r="P368" s="5"/>
      <c r="Q368" s="5"/>
      <c r="R368" s="5"/>
      <c r="S368" s="5"/>
      <c r="T368" s="5"/>
      <c r="U368" s="5"/>
      <c r="V368" s="5"/>
      <c r="W368" s="5"/>
      <c r="X368" s="5"/>
      <c r="Y368" s="5"/>
      <c r="Z368" s="5"/>
    </row>
    <row r="369" ht="15.75" customHeight="1">
      <c r="A369" s="5"/>
      <c r="B369" s="72"/>
      <c r="C369" s="74"/>
      <c r="D369" s="74"/>
      <c r="E369" s="74"/>
      <c r="F369" s="74"/>
      <c r="G369" s="74"/>
      <c r="H369" s="74"/>
      <c r="I369" s="74"/>
      <c r="J369" s="76"/>
      <c r="K369" s="74"/>
      <c r="L369" s="166"/>
      <c r="M369" s="5"/>
      <c r="N369" s="5"/>
      <c r="O369" s="5"/>
      <c r="P369" s="5"/>
      <c r="Q369" s="5"/>
      <c r="R369" s="5"/>
      <c r="S369" s="5"/>
      <c r="T369" s="5"/>
      <c r="U369" s="5"/>
      <c r="V369" s="5"/>
      <c r="W369" s="5"/>
      <c r="X369" s="5"/>
      <c r="Y369" s="5"/>
      <c r="Z369" s="5"/>
    </row>
    <row r="370" ht="15.75" customHeight="1">
      <c r="A370" s="5"/>
      <c r="B370" s="72"/>
      <c r="C370" s="74"/>
      <c r="D370" s="74"/>
      <c r="E370" s="74"/>
      <c r="F370" s="74"/>
      <c r="G370" s="74"/>
      <c r="H370" s="74"/>
      <c r="I370" s="74"/>
      <c r="J370" s="76"/>
      <c r="K370" s="74"/>
      <c r="L370" s="166"/>
      <c r="M370" s="5"/>
      <c r="N370" s="5"/>
      <c r="O370" s="5"/>
      <c r="P370" s="5"/>
      <c r="Q370" s="5"/>
      <c r="R370" s="5"/>
      <c r="S370" s="5"/>
      <c r="T370" s="5"/>
      <c r="U370" s="5"/>
      <c r="V370" s="5"/>
      <c r="W370" s="5"/>
      <c r="X370" s="5"/>
      <c r="Y370" s="5"/>
      <c r="Z370" s="5"/>
    </row>
    <row r="371" ht="15.75" customHeight="1">
      <c r="A371" s="5"/>
      <c r="B371" s="72"/>
      <c r="C371" s="74"/>
      <c r="D371" s="74"/>
      <c r="E371" s="74"/>
      <c r="F371" s="74"/>
      <c r="G371" s="74"/>
      <c r="H371" s="74"/>
      <c r="I371" s="74"/>
      <c r="J371" s="76"/>
      <c r="K371" s="74"/>
      <c r="L371" s="166"/>
      <c r="M371" s="5"/>
      <c r="N371" s="5"/>
      <c r="O371" s="5"/>
      <c r="P371" s="5"/>
      <c r="Q371" s="5"/>
      <c r="R371" s="5"/>
      <c r="S371" s="5"/>
      <c r="T371" s="5"/>
      <c r="U371" s="5"/>
      <c r="V371" s="5"/>
      <c r="W371" s="5"/>
      <c r="X371" s="5"/>
      <c r="Y371" s="5"/>
      <c r="Z371" s="5"/>
    </row>
    <row r="372" ht="15.75" customHeight="1">
      <c r="A372" s="5"/>
      <c r="B372" s="72"/>
      <c r="C372" s="74"/>
      <c r="D372" s="74"/>
      <c r="E372" s="74"/>
      <c r="F372" s="74"/>
      <c r="G372" s="74"/>
      <c r="H372" s="74"/>
      <c r="I372" s="74"/>
      <c r="J372" s="76"/>
      <c r="K372" s="74"/>
      <c r="L372" s="166"/>
      <c r="M372" s="5"/>
      <c r="N372" s="5"/>
      <c r="O372" s="5"/>
      <c r="P372" s="5"/>
      <c r="Q372" s="5"/>
      <c r="R372" s="5"/>
      <c r="S372" s="5"/>
      <c r="T372" s="5"/>
      <c r="U372" s="5"/>
      <c r="V372" s="5"/>
      <c r="W372" s="5"/>
      <c r="X372" s="5"/>
      <c r="Y372" s="5"/>
      <c r="Z372" s="5"/>
    </row>
    <row r="373" ht="15.75" customHeight="1">
      <c r="A373" s="5"/>
      <c r="B373" s="72"/>
      <c r="C373" s="74"/>
      <c r="D373" s="74"/>
      <c r="E373" s="74"/>
      <c r="F373" s="74"/>
      <c r="G373" s="74"/>
      <c r="H373" s="74"/>
      <c r="I373" s="74"/>
      <c r="J373" s="76"/>
      <c r="K373" s="74"/>
      <c r="L373" s="166"/>
      <c r="M373" s="5"/>
      <c r="N373" s="5"/>
      <c r="O373" s="5"/>
      <c r="P373" s="5"/>
      <c r="Q373" s="5"/>
      <c r="R373" s="5"/>
      <c r="S373" s="5"/>
      <c r="T373" s="5"/>
      <c r="U373" s="5"/>
      <c r="V373" s="5"/>
      <c r="W373" s="5"/>
      <c r="X373" s="5"/>
      <c r="Y373" s="5"/>
      <c r="Z373" s="5"/>
    </row>
    <row r="374" ht="15.75" customHeight="1">
      <c r="A374" s="5"/>
      <c r="B374" s="72"/>
      <c r="C374" s="74"/>
      <c r="D374" s="74"/>
      <c r="E374" s="74"/>
      <c r="F374" s="74"/>
      <c r="G374" s="74"/>
      <c r="H374" s="74"/>
      <c r="I374" s="74"/>
      <c r="J374" s="76"/>
      <c r="K374" s="74"/>
      <c r="L374" s="166"/>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27.75" customHeight="1">
      <c r="A376" s="5"/>
      <c r="B376" s="182" t="s">
        <v>280</v>
      </c>
      <c r="M376" s="5"/>
      <c r="N376" s="5"/>
      <c r="O376" s="5"/>
      <c r="P376" s="5"/>
      <c r="Q376" s="5"/>
      <c r="R376" s="5"/>
      <c r="S376" s="5"/>
      <c r="T376" s="5"/>
      <c r="U376" s="5"/>
      <c r="V376" s="5"/>
      <c r="W376" s="5"/>
      <c r="X376" s="5"/>
      <c r="Y376" s="5"/>
      <c r="Z376" s="5"/>
    </row>
    <row r="377" ht="27.75" customHeight="1">
      <c r="A377" s="5"/>
      <c r="B377" s="182" t="s">
        <v>281</v>
      </c>
      <c r="M377" s="5"/>
      <c r="N377" s="5"/>
      <c r="O377" s="5"/>
      <c r="P377" s="5"/>
      <c r="Q377" s="5"/>
      <c r="R377" s="5"/>
      <c r="S377" s="5"/>
      <c r="T377" s="5"/>
      <c r="U377" s="5"/>
      <c r="V377" s="5"/>
      <c r="W377" s="5"/>
      <c r="X377" s="5"/>
      <c r="Y377" s="5"/>
      <c r="Z377" s="5"/>
    </row>
    <row r="378" ht="72.0" customHeight="1">
      <c r="A378" s="5"/>
      <c r="B378" s="183" t="s">
        <v>282</v>
      </c>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ht="15.75" customHeight="1">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ht="15.75" customHeight="1">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ht="15.75" customHeight="1">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ht="15.75" customHeight="1">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ht="15.75" customHeight="1">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ht="15.75" customHeight="1">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ht="15.75" customHeight="1">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ht="15.75" customHeight="1">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ht="15.75" customHeight="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sheetData>
  <mergeCells count="41">
    <mergeCell ref="A1:L1"/>
    <mergeCell ref="A2:L2"/>
    <mergeCell ref="B4:L4"/>
    <mergeCell ref="B6:C6"/>
    <mergeCell ref="D6:E6"/>
    <mergeCell ref="F6:G6"/>
    <mergeCell ref="H6:I6"/>
    <mergeCell ref="B7:C7"/>
    <mergeCell ref="D7:E7"/>
    <mergeCell ref="F7:G7"/>
    <mergeCell ref="H7:I7"/>
    <mergeCell ref="B8:I8"/>
    <mergeCell ref="B35:L35"/>
    <mergeCell ref="B36:L36"/>
    <mergeCell ref="B50:L50"/>
    <mergeCell ref="B64:L64"/>
    <mergeCell ref="B77:L77"/>
    <mergeCell ref="B93:L93"/>
    <mergeCell ref="B106:L106"/>
    <mergeCell ref="B121:L121"/>
    <mergeCell ref="B138:L138"/>
    <mergeCell ref="B157:L157"/>
    <mergeCell ref="B172:L172"/>
    <mergeCell ref="B190:L190"/>
    <mergeCell ref="B202:L202"/>
    <mergeCell ref="B214:L214"/>
    <mergeCell ref="B226:L226"/>
    <mergeCell ref="B238:L238"/>
    <mergeCell ref="B341:L341"/>
    <mergeCell ref="B353:L353"/>
    <mergeCell ref="B364:L364"/>
    <mergeCell ref="B376:L376"/>
    <mergeCell ref="B377:L377"/>
    <mergeCell ref="B378:L378"/>
    <mergeCell ref="B250:L250"/>
    <mergeCell ref="B262:L262"/>
    <mergeCell ref="B274:L274"/>
    <mergeCell ref="B288:L288"/>
    <mergeCell ref="B300:L300"/>
    <mergeCell ref="B312:L312"/>
    <mergeCell ref="B325:L325"/>
  </mergeCells>
  <conditionalFormatting sqref="B10:I34">
    <cfRule type="expression" dxfId="0" priority="1">
      <formula>SUM($D10:$G10)=0</formula>
    </cfRule>
  </conditionalFormatting>
  <dataValidations>
    <dataValidation type="date" operator="greaterThanOrEqual" allowBlank="1" showInputMessage="1" prompt="Ngày lạ - Ngày trước năm 2020 — bấm Có nếu chắc chắn đúng." sqref="B38:B48 B52:B62 B66:B75 B79:B91 B95:B104 B108:B119 B123:B136 B140:B155 B159:B170 B174:B188 B192:B200 B204:B212 B216:B224 B228:B236 B240:B248 B252:B260 B264:B272 B276:B286 B290:B298 B302:B310 B314:B323 B327:B339 B343:B351 B355:B363 B366:B374">
      <formula1>2020-1-1</formula1>
    </dataValidation>
    <dataValidation type="list" allowBlank="1" showInputMessage="1" showErrorMessage="1" prompt="Chọn trong danh sách - Chỉ chọn Bánh lái, Đầu kéo hoặc Mooc." sqref="E38:E48 E52:E62 E66:E75 E79:E91 E95:E104 E108:E119 E123:E136 E140:E155 E159:E170 E174:E188 E192:E200 E204:E212 E216:E224 E228:E236 E240:E248 E252:E260 E264:E272 E276:E286 E290:E298 E302:E310 E314:E323 E327:E339 E343:E351 E355:E363 E366:E374">
      <formula1>"Bánh lái,Đầu cái,Mooc"</formula1>
    </dataValidation>
    <dataValidation type="list" allowBlank="1" showInputMessage="1" prompt="Số lẻ? - Thường thay theo cặp (2/4/6) — bấm Có nếu đúng là số lẻ." sqref="C38:C48 C52:C62 C66:C75 C79:C91 C95:C104 C108:C119 C123:C136 C140:C155 C159:C170 C174:C188 C192:C200 C204:C212 C216:C224 C228:C236 C240:C248 C252:C260 C264:C272 C276:C286 C290:C298 C302:C310 C314:C323 C327:C339 C343:C351 C355:C363 C366:C374">
      <formula1>"1,2,3,4,5,6"</formula1>
    </dataValidation>
    <dataValidation type="list" allowBlank="1" showInputMessage="1" prompt="Nhấp và nhập một giá trị từ danh sách các mục" sqref="G38:G48 G52:G62 G66:G75 G79:G91 G95:G104 G108:G119 G123:G136 G140:G155 G159:G170 G174:G188 G192:G200 G204:G212 G216:G224 G228:G236 G240:G248 G252:G260 G264:G272 G276:G286 G290:G298 G302:G310 G314:G323 G327:G339 G343:G351 G355:G363 G366:G374">
      <formula1>"Bảo Ngọc,Thảo Ly,Phú Anh,Phú Anh - Tiền Giang,Phú Anh - Tân An,Minh Cường,Thành Phát,Sáu Lốp,Ngọc (lốp ô tô),Khác,NGỌC LONG HƯNG"</formula1>
    </dataValidation>
    <dataValidation type="list" allowBlank="1" showInputMessage="1" showErrorMessage="1" prompt="Chọn trong danh sách - Chỉ chọn Đã thanh toán hoặc Chưa thanh toán." sqref="K38:K48 K52:K62 K66:K75 K79:K91 K95:K104 K108:K119 K123:K136 K140:K155 K159:K170 K174:K188 K192:K200 K204:K212 K216:K224 K228:K236 K240:K248 K252:K260 K264:K272 K276:K286 K290:K298 K302:K310 K314:K323 K327:K339 K343:K351 K355:K363 K366:K374">
      <formula1>"Đã thanh toán,Chưa thanh toán"</formula1>
    </dataValidation>
  </dataValidations>
  <printOptions/>
  <pageMargins bottom="1.0" footer="0.0" header="0.0" left="0.75" right="0.75" top="1.0"/>
  <pageSetup fitToHeight="0"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A93A0"/>
    <pageSetUpPr fitToPage="1"/>
  </sheetPr>
  <sheetViews>
    <sheetView showGridLines="0" workbookViewId="0">
      <pane xSplit="1.0" ySplit="7.0" topLeftCell="B8" activePane="bottomRight" state="frozen"/>
      <selection activeCell="B1" sqref="B1" pane="topRight"/>
      <selection activeCell="A8" sqref="A8" pane="bottomLeft"/>
      <selection activeCell="B8" sqref="B8" pane="bottomRight"/>
    </sheetView>
  </sheetViews>
  <sheetFormatPr customHeight="1" defaultColWidth="14.43" defaultRowHeight="15.0"/>
  <cols>
    <col customWidth="1" min="1" max="1" width="2.29"/>
    <col customWidth="1" min="2" max="2" width="6.0"/>
    <col customWidth="1" min="3" max="3" width="13.0"/>
    <col customWidth="1" min="4" max="4" width="38.0"/>
    <col customWidth="1" min="5" max="5" width="13.0"/>
    <col customWidth="1" min="6" max="6" width="15.0"/>
    <col customWidth="1" min="7" max="7" width="16.0"/>
    <col customWidth="1" min="8" max="8" width="30.0"/>
    <col customWidth="1" min="9" max="26" width="8.71"/>
  </cols>
  <sheetData>
    <row r="1" ht="19.5" customHeight="1">
      <c r="A1" s="3" t="s">
        <v>0</v>
      </c>
      <c r="B1" s="2"/>
      <c r="C1" s="2"/>
      <c r="D1" s="2"/>
      <c r="E1" s="2"/>
      <c r="F1" s="2"/>
      <c r="G1" s="2"/>
      <c r="H1" s="4"/>
    </row>
    <row r="2" ht="31.5" customHeight="1">
      <c r="A2" s="6" t="s">
        <v>1</v>
      </c>
      <c r="B2" s="2"/>
      <c r="C2" s="2"/>
      <c r="D2" s="2"/>
      <c r="E2" s="2"/>
      <c r="F2" s="2"/>
      <c r="G2" s="2"/>
      <c r="H2" s="4"/>
    </row>
    <row r="3" ht="6.0" customHeight="1"/>
    <row r="4" ht="30.0" customHeight="1">
      <c r="B4" s="11">
        <f>SUMIF($G$10:$G$233,"Chưa thanh toán",$F$10:$F$233)</f>
        <v>4800000</v>
      </c>
      <c r="C4" s="12"/>
      <c r="D4" s="17">
        <f>SUMIF($G$10:$G$233,"Đã thanh toán",$F$10:$F$233)</f>
        <v>40800000</v>
      </c>
      <c r="E4" s="12"/>
      <c r="F4" s="23">
        <f>SUM($F$10:$F$233)</f>
        <v>45600000</v>
      </c>
      <c r="G4" s="26"/>
      <c r="H4" s="12"/>
    </row>
    <row r="5" ht="13.5" customHeight="1">
      <c r="B5" s="28" t="s">
        <v>23</v>
      </c>
      <c r="D5" s="28" t="s">
        <v>24</v>
      </c>
      <c r="F5" s="28" t="s">
        <v>26</v>
      </c>
    </row>
    <row r="6" ht="6.0" customHeight="1"/>
    <row r="7" ht="21.75" customHeight="1">
      <c r="B7" s="32" t="s">
        <v>28</v>
      </c>
      <c r="C7" s="2"/>
      <c r="D7" s="2"/>
      <c r="E7" s="2"/>
      <c r="F7" s="2"/>
      <c r="G7" s="2"/>
      <c r="H7" s="4"/>
    </row>
    <row r="8" ht="19.5" customHeight="1">
      <c r="B8" s="37" t="str">
        <f>"③  " &amp; "63H 04273" &amp; "   —   " &amp; COUNT($C$10:$C$15) &amp; " khoản · " &amp; TEXT(SUM($F$10:$F$15),"#,##0") &amp; "đ · còn nợ " &amp; TEXT(SUMIF($G$10:$G$15,"Chưa thanh toán",$F$10:$F$15),"#,##0") &amp; "đ"</f>
        <v>③  63H 04273   —   1 khoản · 4.050.000đ · còn nợ 0đ</v>
      </c>
      <c r="C8" s="2"/>
      <c r="D8" s="2"/>
      <c r="E8" s="2"/>
      <c r="F8" s="2"/>
      <c r="G8" s="2"/>
      <c r="H8" s="4"/>
    </row>
    <row r="9" ht="25.5" customHeight="1">
      <c r="B9" s="40" t="s">
        <v>7</v>
      </c>
      <c r="C9" s="40" t="s">
        <v>46</v>
      </c>
      <c r="D9" s="40" t="s">
        <v>47</v>
      </c>
      <c r="E9" s="40" t="s">
        <v>48</v>
      </c>
      <c r="F9" s="40" t="s">
        <v>49</v>
      </c>
      <c r="G9" s="40" t="s">
        <v>50</v>
      </c>
      <c r="H9" s="40" t="s">
        <v>19</v>
      </c>
    </row>
    <row r="10" ht="15.0" customHeight="1">
      <c r="B10" s="41">
        <v>1.0</v>
      </c>
      <c r="C10" s="52">
        <v>46135.0</v>
      </c>
      <c r="D10" s="53" t="s">
        <v>52</v>
      </c>
      <c r="E10" s="54"/>
      <c r="F10" s="55">
        <v>4050000.0</v>
      </c>
      <c r="G10" s="54" t="s">
        <v>53</v>
      </c>
      <c r="H10" s="57"/>
    </row>
    <row r="11" ht="15.0" customHeight="1">
      <c r="B11" s="58"/>
      <c r="C11" s="59"/>
      <c r="D11" s="61"/>
      <c r="E11" s="63"/>
      <c r="F11" s="65"/>
      <c r="G11" s="63"/>
      <c r="H11" s="68"/>
    </row>
    <row r="12" ht="15.0" customHeight="1">
      <c r="B12" s="58"/>
      <c r="C12" s="59"/>
      <c r="D12" s="61"/>
      <c r="E12" s="63"/>
      <c r="F12" s="65"/>
      <c r="G12" s="63"/>
      <c r="H12" s="68"/>
    </row>
    <row r="13" ht="15.0" customHeight="1">
      <c r="B13" s="58"/>
      <c r="C13" s="59"/>
      <c r="D13" s="61"/>
      <c r="E13" s="63"/>
      <c r="F13" s="65"/>
      <c r="G13" s="63"/>
      <c r="H13" s="68"/>
    </row>
    <row r="14" ht="15.0" customHeight="1">
      <c r="B14" s="58"/>
      <c r="C14" s="59"/>
      <c r="D14" s="61"/>
      <c r="E14" s="63"/>
      <c r="F14" s="65"/>
      <c r="G14" s="63"/>
      <c r="H14" s="68"/>
    </row>
    <row r="15" ht="15.0" customHeight="1">
      <c r="B15" s="58"/>
      <c r="C15" s="59"/>
      <c r="D15" s="61"/>
      <c r="E15" s="63"/>
      <c r="F15" s="65"/>
      <c r="G15" s="63"/>
      <c r="H15" s="68"/>
    </row>
    <row r="17" ht="19.5" customHeight="1">
      <c r="B17" s="37" t="str">
        <f>"③  " &amp; "63E 01117" &amp; "   —   " &amp; COUNT($C$19:$C$24) &amp; " khoản · " &amp; TEXT(SUM($F$19:$F$24),"#,##0") &amp; "đ · còn nợ " &amp; TEXT(SUMIF($G$19:$G$24,"Chưa thanh toán",$F$19:$F$24),"#,##0") &amp; "đ"</f>
        <v>③  63E 01117   —   0 khoản · 0đ · còn nợ 0đ</v>
      </c>
      <c r="C17" s="2"/>
      <c r="D17" s="2"/>
      <c r="E17" s="2"/>
      <c r="F17" s="2"/>
      <c r="G17" s="2"/>
      <c r="H17" s="4"/>
    </row>
    <row r="18" ht="25.5" customHeight="1">
      <c r="B18" s="70" t="s">
        <v>7</v>
      </c>
      <c r="C18" s="70" t="s">
        <v>46</v>
      </c>
      <c r="D18" s="70" t="s">
        <v>47</v>
      </c>
      <c r="E18" s="70" t="s">
        <v>48</v>
      </c>
      <c r="F18" s="70" t="s">
        <v>49</v>
      </c>
      <c r="G18" s="70" t="s">
        <v>50</v>
      </c>
      <c r="H18" s="70" t="s">
        <v>19</v>
      </c>
    </row>
    <row r="19" ht="15.0" customHeight="1">
      <c r="B19" s="71"/>
      <c r="C19" s="72"/>
      <c r="D19" s="73"/>
      <c r="E19" s="74"/>
      <c r="F19" s="76"/>
      <c r="G19" s="74"/>
      <c r="H19" s="78"/>
    </row>
    <row r="20" ht="15.0" customHeight="1">
      <c r="B20" s="71"/>
      <c r="C20" s="72"/>
      <c r="D20" s="73"/>
      <c r="E20" s="74"/>
      <c r="F20" s="76"/>
      <c r="G20" s="74"/>
      <c r="H20" s="78"/>
    </row>
    <row r="21" ht="15.0" customHeight="1">
      <c r="B21" s="71"/>
      <c r="C21" s="72"/>
      <c r="D21" s="73"/>
      <c r="E21" s="74"/>
      <c r="F21" s="76"/>
      <c r="G21" s="74"/>
      <c r="H21" s="78"/>
    </row>
    <row r="22" ht="15.0" customHeight="1">
      <c r="B22" s="71"/>
      <c r="C22" s="72"/>
      <c r="D22" s="73"/>
      <c r="E22" s="74"/>
      <c r="F22" s="76"/>
      <c r="G22" s="74"/>
      <c r="H22" s="78"/>
    </row>
    <row r="23" ht="15.0" customHeight="1">
      <c r="B23" s="71"/>
      <c r="C23" s="72"/>
      <c r="D23" s="73"/>
      <c r="E23" s="74"/>
      <c r="F23" s="76"/>
      <c r="G23" s="74"/>
      <c r="H23" s="78"/>
    </row>
    <row r="24" ht="15.0" customHeight="1">
      <c r="B24" s="71"/>
      <c r="C24" s="72"/>
      <c r="D24" s="73"/>
      <c r="E24" s="74"/>
      <c r="F24" s="76"/>
      <c r="G24" s="74"/>
      <c r="H24" s="78"/>
    </row>
    <row r="25" ht="15.75" customHeight="1"/>
    <row r="26" ht="19.5" customHeight="1">
      <c r="B26" s="37" t="str">
        <f>"③  " &amp; "63E 01156" &amp; "   —   " &amp; COUNT($C$28:$C$33) &amp; " khoản · " &amp; TEXT(SUM($F$28:$F$33),"#,##0") &amp; "đ · còn nợ " &amp; TEXT(SUMIF($G$28:$G$33,"Chưa thanh toán",$F$28:$F$33),"#,##0") &amp; "đ"</f>
        <v>③  63E 01156   —   1 khoản · 3.250.000đ · còn nợ 0đ</v>
      </c>
      <c r="C26" s="2"/>
      <c r="D26" s="2"/>
      <c r="E26" s="2"/>
      <c r="F26" s="2"/>
      <c r="G26" s="2"/>
      <c r="H26" s="4"/>
    </row>
    <row r="27" ht="25.5" customHeight="1">
      <c r="B27" s="40" t="s">
        <v>7</v>
      </c>
      <c r="C27" s="40" t="s">
        <v>46</v>
      </c>
      <c r="D27" s="40" t="s">
        <v>47</v>
      </c>
      <c r="E27" s="40" t="s">
        <v>48</v>
      </c>
      <c r="F27" s="40" t="s">
        <v>49</v>
      </c>
      <c r="G27" s="40" t="s">
        <v>50</v>
      </c>
      <c r="H27" s="40" t="s">
        <v>19</v>
      </c>
    </row>
    <row r="28" ht="15.0" customHeight="1">
      <c r="B28" s="41">
        <v>1.0</v>
      </c>
      <c r="C28" s="52">
        <v>46167.0</v>
      </c>
      <c r="D28" s="53" t="s">
        <v>74</v>
      </c>
      <c r="E28" s="54"/>
      <c r="F28" s="55">
        <v>3250000.0</v>
      </c>
      <c r="G28" s="54" t="s">
        <v>53</v>
      </c>
      <c r="H28" s="57"/>
    </row>
    <row r="29" ht="15.0" customHeight="1">
      <c r="B29" s="58"/>
      <c r="C29" s="59"/>
      <c r="D29" s="61"/>
      <c r="E29" s="63"/>
      <c r="F29" s="65"/>
      <c r="G29" s="63"/>
      <c r="H29" s="68"/>
    </row>
    <row r="30" ht="15.0" customHeight="1">
      <c r="B30" s="58"/>
      <c r="C30" s="59"/>
      <c r="D30" s="61"/>
      <c r="E30" s="63"/>
      <c r="F30" s="65"/>
      <c r="G30" s="63"/>
      <c r="H30" s="68"/>
    </row>
    <row r="31" ht="15.0" customHeight="1">
      <c r="B31" s="58"/>
      <c r="C31" s="59"/>
      <c r="D31" s="61"/>
      <c r="E31" s="63"/>
      <c r="F31" s="65"/>
      <c r="G31" s="63"/>
      <c r="H31" s="68"/>
    </row>
    <row r="32" ht="15.0" customHeight="1">
      <c r="B32" s="58"/>
      <c r="C32" s="59"/>
      <c r="D32" s="61"/>
      <c r="E32" s="63"/>
      <c r="F32" s="65"/>
      <c r="G32" s="63"/>
      <c r="H32" s="68"/>
    </row>
    <row r="33" ht="15.0" customHeight="1">
      <c r="B33" s="58"/>
      <c r="C33" s="59"/>
      <c r="D33" s="61"/>
      <c r="E33" s="63"/>
      <c r="F33" s="65"/>
      <c r="G33" s="63"/>
      <c r="H33" s="68"/>
    </row>
    <row r="34" ht="15.75" customHeight="1"/>
    <row r="35" ht="19.5" customHeight="1">
      <c r="B35" s="37" t="str">
        <f>"③  " &amp; "63G 00286" &amp; "   —   " &amp; COUNT($C$37:$C$42) &amp; " khoản · " &amp; TEXT(SUM($F$37:$F$42),"#,##0") &amp; "đ · còn nợ " &amp; TEXT(SUMIF($G$37:$G$42,"Chưa thanh toán",$F$37:$F$42),"#,##0") &amp; "đ"</f>
        <v>③  63G 00286   —   1 khoản · 3.250.000đ · còn nợ 0đ</v>
      </c>
      <c r="C35" s="2"/>
      <c r="D35" s="2"/>
      <c r="E35" s="2"/>
      <c r="F35" s="2"/>
      <c r="G35" s="2"/>
      <c r="H35" s="4"/>
    </row>
    <row r="36" ht="25.5" customHeight="1">
      <c r="B36" s="70" t="s">
        <v>7</v>
      </c>
      <c r="C36" s="70" t="s">
        <v>46</v>
      </c>
      <c r="D36" s="70" t="s">
        <v>47</v>
      </c>
      <c r="E36" s="70" t="s">
        <v>48</v>
      </c>
      <c r="F36" s="70" t="s">
        <v>49</v>
      </c>
      <c r="G36" s="70" t="s">
        <v>50</v>
      </c>
      <c r="H36" s="70" t="s">
        <v>19</v>
      </c>
    </row>
    <row r="37" ht="15.0" customHeight="1">
      <c r="B37" s="41">
        <v>1.0</v>
      </c>
      <c r="C37" s="52">
        <v>46178.0</v>
      </c>
      <c r="D37" s="53" t="s">
        <v>82</v>
      </c>
      <c r="E37" s="54"/>
      <c r="F37" s="55">
        <v>3250000.0</v>
      </c>
      <c r="G37" s="54" t="s">
        <v>53</v>
      </c>
      <c r="H37" s="57"/>
    </row>
    <row r="38" ht="15.0" customHeight="1">
      <c r="B38" s="71"/>
      <c r="C38" s="72"/>
      <c r="D38" s="73"/>
      <c r="E38" s="74"/>
      <c r="F38" s="76"/>
      <c r="G38" s="74"/>
      <c r="H38" s="78"/>
    </row>
    <row r="39" ht="15.0" customHeight="1">
      <c r="B39" s="71"/>
      <c r="C39" s="72"/>
      <c r="D39" s="73"/>
      <c r="E39" s="74"/>
      <c r="F39" s="76"/>
      <c r="G39" s="74"/>
      <c r="H39" s="78"/>
    </row>
    <row r="40" ht="15.0" customHeight="1">
      <c r="B40" s="71"/>
      <c r="C40" s="72"/>
      <c r="D40" s="73"/>
      <c r="E40" s="74"/>
      <c r="F40" s="76"/>
      <c r="G40" s="74"/>
      <c r="H40" s="78"/>
    </row>
    <row r="41" ht="15.0" customHeight="1">
      <c r="B41" s="71"/>
      <c r="C41" s="72"/>
      <c r="D41" s="73"/>
      <c r="E41" s="74"/>
      <c r="F41" s="76"/>
      <c r="G41" s="74"/>
      <c r="H41" s="78"/>
    </row>
    <row r="42" ht="15.0" customHeight="1">
      <c r="B42" s="71"/>
      <c r="C42" s="72"/>
      <c r="D42" s="73"/>
      <c r="E42" s="74"/>
      <c r="F42" s="76"/>
      <c r="G42" s="74"/>
      <c r="H42" s="78"/>
    </row>
    <row r="43" ht="15.75" customHeight="1"/>
    <row r="44" ht="19.5" customHeight="1">
      <c r="B44" s="37" t="str">
        <f>"③  " &amp; "63F-005.12" &amp; "   —   " &amp; COUNT($C$46:$C$51) &amp; " khoản · " &amp; TEXT(SUM($F$46:$F$51),"#,##0") &amp; "đ · còn nợ " &amp; TEXT(SUMIF($G$46:$G$51,"Chưa thanh toán",$F$46:$F$51),"#,##0") &amp; "đ"</f>
        <v>③  63F-005.12   —   0 khoản · 0đ · còn nợ 0đ</v>
      </c>
      <c r="C44" s="2"/>
      <c r="D44" s="2"/>
      <c r="E44" s="2"/>
      <c r="F44" s="2"/>
      <c r="G44" s="2"/>
      <c r="H44" s="4"/>
    </row>
    <row r="45" ht="25.5" customHeight="1">
      <c r="B45" s="40" t="s">
        <v>7</v>
      </c>
      <c r="C45" s="40" t="s">
        <v>46</v>
      </c>
      <c r="D45" s="40" t="s">
        <v>47</v>
      </c>
      <c r="E45" s="40" t="s">
        <v>48</v>
      </c>
      <c r="F45" s="40" t="s">
        <v>49</v>
      </c>
      <c r="G45" s="40" t="s">
        <v>50</v>
      </c>
      <c r="H45" s="40" t="s">
        <v>19</v>
      </c>
    </row>
    <row r="46" ht="15.0" customHeight="1">
      <c r="B46" s="58"/>
      <c r="C46" s="59"/>
      <c r="D46" s="61"/>
      <c r="E46" s="63"/>
      <c r="F46" s="65"/>
      <c r="G46" s="63"/>
      <c r="H46" s="68"/>
    </row>
    <row r="47" ht="15.0" customHeight="1">
      <c r="B47" s="58"/>
      <c r="C47" s="59"/>
      <c r="D47" s="61"/>
      <c r="E47" s="63"/>
      <c r="F47" s="65"/>
      <c r="G47" s="63"/>
      <c r="H47" s="68"/>
    </row>
    <row r="48" ht="15.0" customHeight="1">
      <c r="B48" s="58"/>
      <c r="C48" s="59"/>
      <c r="D48" s="61"/>
      <c r="E48" s="63"/>
      <c r="F48" s="65"/>
      <c r="G48" s="63"/>
      <c r="H48" s="68"/>
    </row>
    <row r="49" ht="15.0" customHeight="1">
      <c r="B49" s="58"/>
      <c r="C49" s="59"/>
      <c r="D49" s="61"/>
      <c r="E49" s="63"/>
      <c r="F49" s="65"/>
      <c r="G49" s="63"/>
      <c r="H49" s="68"/>
    </row>
    <row r="50" ht="15.0" customHeight="1">
      <c r="B50" s="58"/>
      <c r="C50" s="59"/>
      <c r="D50" s="61"/>
      <c r="E50" s="63"/>
      <c r="F50" s="65"/>
      <c r="G50" s="63"/>
      <c r="H50" s="68"/>
    </row>
    <row r="51" ht="15.0" customHeight="1">
      <c r="B51" s="58"/>
      <c r="C51" s="59"/>
      <c r="D51" s="61"/>
      <c r="E51" s="63"/>
      <c r="F51" s="65"/>
      <c r="G51" s="63"/>
      <c r="H51" s="68"/>
    </row>
    <row r="52" ht="15.75" customHeight="1"/>
    <row r="53" ht="19.5" customHeight="1">
      <c r="B53" s="37" t="str">
        <f>"③  " &amp; "63F-005.38" &amp; "   —   " &amp; COUNT($C$55:$C$60) &amp; " khoản · " &amp; TEXT(SUM($F$55:$F$60),"#,##0") &amp; "đ · còn nợ " &amp; TEXT(SUMIF($G$55:$G$60,"Chưa thanh toán",$F$55:$F$60),"#,##0") &amp; "đ"</f>
        <v>③  63F-005.38   —   1 khoản · 3.700.000đ · còn nợ 0đ</v>
      </c>
      <c r="C53" s="2"/>
      <c r="D53" s="2"/>
      <c r="E53" s="2"/>
      <c r="F53" s="2"/>
      <c r="G53" s="2"/>
      <c r="H53" s="4"/>
    </row>
    <row r="54" ht="25.5" customHeight="1">
      <c r="B54" s="70" t="s">
        <v>7</v>
      </c>
      <c r="C54" s="70" t="s">
        <v>46</v>
      </c>
      <c r="D54" s="70" t="s">
        <v>47</v>
      </c>
      <c r="E54" s="70" t="s">
        <v>48</v>
      </c>
      <c r="F54" s="70" t="s">
        <v>49</v>
      </c>
      <c r="G54" s="70" t="s">
        <v>50</v>
      </c>
      <c r="H54" s="70" t="s">
        <v>19</v>
      </c>
    </row>
    <row r="55" ht="15.0" customHeight="1">
      <c r="B55" s="94">
        <v>1.0</v>
      </c>
      <c r="C55" s="96">
        <v>46269.0</v>
      </c>
      <c r="D55" s="97" t="s">
        <v>105</v>
      </c>
      <c r="E55" s="99"/>
      <c r="F55" s="100">
        <v>3700000.0</v>
      </c>
      <c r="G55" s="99" t="s">
        <v>53</v>
      </c>
      <c r="H55" s="102" t="s">
        <v>107</v>
      </c>
    </row>
    <row r="56" ht="15.0" customHeight="1">
      <c r="B56" s="71"/>
      <c r="C56" s="72"/>
      <c r="D56" s="73"/>
      <c r="E56" s="74"/>
      <c r="F56" s="76"/>
      <c r="G56" s="74"/>
      <c r="H56" s="78"/>
    </row>
    <row r="57" ht="15.0" customHeight="1">
      <c r="B57" s="71"/>
      <c r="C57" s="72"/>
      <c r="D57" s="73"/>
      <c r="E57" s="74"/>
      <c r="F57" s="76"/>
      <c r="G57" s="74"/>
      <c r="H57" s="78"/>
    </row>
    <row r="58" ht="15.0" customHeight="1">
      <c r="B58" s="71"/>
      <c r="C58" s="72"/>
      <c r="D58" s="73"/>
      <c r="E58" s="74"/>
      <c r="F58" s="76"/>
      <c r="G58" s="74"/>
      <c r="H58" s="78"/>
    </row>
    <row r="59" ht="15.0" customHeight="1">
      <c r="B59" s="71"/>
      <c r="C59" s="72"/>
      <c r="D59" s="73"/>
      <c r="E59" s="74"/>
      <c r="F59" s="76"/>
      <c r="G59" s="74"/>
      <c r="H59" s="78"/>
    </row>
    <row r="60" ht="15.0" customHeight="1">
      <c r="B60" s="71"/>
      <c r="C60" s="72"/>
      <c r="D60" s="73"/>
      <c r="E60" s="74"/>
      <c r="F60" s="76"/>
      <c r="G60" s="74"/>
      <c r="H60" s="78"/>
    </row>
    <row r="61" ht="15.75" customHeight="1"/>
    <row r="62" ht="19.5" customHeight="1">
      <c r="B62" s="37" t="str">
        <f>"③  " &amp; "63E 011.08" &amp; "   —   " &amp; COUNT($C$64:$C$69) &amp; " khoản · " &amp; TEXT(SUM($F$64:$F$69),"#,##0") &amp; "đ · còn nợ " &amp; TEXT(SUMIF($G$64:$G$69,"Chưa thanh toán",$F$64:$F$69),"#,##0") &amp; "đ"</f>
        <v>③  63E 011.08   —   1 khoản · 3.250.000đ · còn nợ 0đ</v>
      </c>
      <c r="C62" s="2"/>
      <c r="D62" s="2"/>
      <c r="E62" s="2"/>
      <c r="F62" s="2"/>
      <c r="G62" s="2"/>
      <c r="H62" s="4"/>
    </row>
    <row r="63" ht="25.5" customHeight="1">
      <c r="B63" s="40" t="s">
        <v>7</v>
      </c>
      <c r="C63" s="40" t="s">
        <v>46</v>
      </c>
      <c r="D63" s="40" t="s">
        <v>47</v>
      </c>
      <c r="E63" s="40" t="s">
        <v>48</v>
      </c>
      <c r="F63" s="40" t="s">
        <v>49</v>
      </c>
      <c r="G63" s="40" t="s">
        <v>50</v>
      </c>
      <c r="H63" s="40" t="s">
        <v>19</v>
      </c>
    </row>
    <row r="64" ht="15.0" customHeight="1">
      <c r="B64" s="41">
        <v>1.0</v>
      </c>
      <c r="C64" s="52">
        <v>46134.0</v>
      </c>
      <c r="D64" s="53" t="s">
        <v>116</v>
      </c>
      <c r="E64" s="54"/>
      <c r="F64" s="55">
        <v>3250000.0</v>
      </c>
      <c r="G64" s="54" t="s">
        <v>53</v>
      </c>
      <c r="H64" s="57"/>
    </row>
    <row r="65" ht="15.0" customHeight="1">
      <c r="B65" s="58"/>
      <c r="C65" s="59"/>
      <c r="D65" s="61"/>
      <c r="E65" s="63"/>
      <c r="F65" s="65"/>
      <c r="G65" s="63"/>
      <c r="H65" s="68"/>
    </row>
    <row r="66" ht="15.0" customHeight="1">
      <c r="B66" s="58"/>
      <c r="C66" s="59"/>
      <c r="D66" s="61"/>
      <c r="E66" s="63"/>
      <c r="F66" s="65"/>
      <c r="G66" s="63"/>
      <c r="H66" s="68"/>
    </row>
    <row r="67" ht="15.0" customHeight="1">
      <c r="B67" s="58"/>
      <c r="C67" s="59"/>
      <c r="D67" s="61"/>
      <c r="E67" s="63"/>
      <c r="F67" s="65"/>
      <c r="G67" s="63"/>
      <c r="H67" s="68"/>
    </row>
    <row r="68" ht="15.0" customHeight="1">
      <c r="B68" s="58"/>
      <c r="C68" s="59"/>
      <c r="D68" s="61"/>
      <c r="E68" s="63"/>
      <c r="F68" s="65"/>
      <c r="G68" s="63"/>
      <c r="H68" s="68"/>
    </row>
    <row r="69" ht="15.0" customHeight="1">
      <c r="B69" s="58"/>
      <c r="C69" s="59"/>
      <c r="D69" s="61"/>
      <c r="E69" s="63"/>
      <c r="F69" s="65"/>
      <c r="G69" s="63"/>
      <c r="H69" s="68"/>
    </row>
    <row r="70" ht="15.75" customHeight="1"/>
    <row r="71" ht="19.5" customHeight="1">
      <c r="B71" s="37" t="str">
        <f>"③  " &amp; "63F 005.28" &amp; "   —   " &amp; COUNT($C$73:$C$78) &amp; " khoản · " &amp; TEXT(SUM($F$73:$F$78),"#,##0") &amp; "đ · còn nợ " &amp; TEXT(SUMIF($G$73:$G$78,"Chưa thanh toán",$F$73:$F$78),"#,##0") &amp; "đ"</f>
        <v>③  63F 005.28   —   1 khoản · 3.250.000đ · còn nợ 0đ</v>
      </c>
      <c r="C71" s="2"/>
      <c r="D71" s="2"/>
      <c r="E71" s="2"/>
      <c r="F71" s="2"/>
      <c r="G71" s="2"/>
      <c r="H71" s="4"/>
    </row>
    <row r="72" ht="25.5" customHeight="1">
      <c r="B72" s="70" t="s">
        <v>7</v>
      </c>
      <c r="C72" s="70" t="s">
        <v>46</v>
      </c>
      <c r="D72" s="70" t="s">
        <v>47</v>
      </c>
      <c r="E72" s="70" t="s">
        <v>48</v>
      </c>
      <c r="F72" s="70" t="s">
        <v>49</v>
      </c>
      <c r="G72" s="70" t="s">
        <v>50</v>
      </c>
      <c r="H72" s="70" t="s">
        <v>19</v>
      </c>
    </row>
    <row r="73" ht="15.0" customHeight="1">
      <c r="B73" s="41">
        <v>1.0</v>
      </c>
      <c r="C73" s="52">
        <v>46188.0</v>
      </c>
      <c r="D73" s="53" t="s">
        <v>120</v>
      </c>
      <c r="E73" s="54"/>
      <c r="F73" s="55">
        <v>3250000.0</v>
      </c>
      <c r="G73" s="54" t="s">
        <v>53</v>
      </c>
      <c r="H73" s="57"/>
    </row>
    <row r="74" ht="15.0" customHeight="1">
      <c r="B74" s="71"/>
      <c r="C74" s="72"/>
      <c r="D74" s="73"/>
      <c r="E74" s="74"/>
      <c r="F74" s="76"/>
      <c r="G74" s="74"/>
      <c r="H74" s="78"/>
    </row>
    <row r="75" ht="15.0" customHeight="1">
      <c r="B75" s="71"/>
      <c r="C75" s="72"/>
      <c r="D75" s="73"/>
      <c r="E75" s="74"/>
      <c r="F75" s="76"/>
      <c r="G75" s="74"/>
      <c r="H75" s="78"/>
    </row>
    <row r="76" ht="15.0" customHeight="1">
      <c r="B76" s="71"/>
      <c r="C76" s="72"/>
      <c r="D76" s="73"/>
      <c r="E76" s="74"/>
      <c r="F76" s="76"/>
      <c r="G76" s="74"/>
      <c r="H76" s="78"/>
    </row>
    <row r="77" ht="15.0" customHeight="1">
      <c r="B77" s="71"/>
      <c r="C77" s="72"/>
      <c r="D77" s="73"/>
      <c r="E77" s="74"/>
      <c r="F77" s="76"/>
      <c r="G77" s="74"/>
      <c r="H77" s="78"/>
    </row>
    <row r="78" ht="15.0" customHeight="1">
      <c r="B78" s="71"/>
      <c r="C78" s="72"/>
      <c r="D78" s="73"/>
      <c r="E78" s="74"/>
      <c r="F78" s="76"/>
      <c r="G78" s="74"/>
      <c r="H78" s="78"/>
    </row>
    <row r="79" ht="15.75" customHeight="1"/>
    <row r="80" ht="19.5" customHeight="1">
      <c r="B80" s="37" t="str">
        <f>"③  " &amp; "63G 00262" &amp; "   —   " &amp; COUNT($C$82:$C$87) &amp; " khoản · " &amp; TEXT(SUM($F$82:$F$87),"#,##0") &amp; "đ · còn nợ " &amp; TEXT(SUMIF($G$82:$G$87,"Chưa thanh toán",$F$82:$F$87),"#,##0") &amp; "đ"</f>
        <v>③  63G 00262   —   1 khoản · 3.250.000đ · còn nợ 0đ</v>
      </c>
      <c r="C80" s="2"/>
      <c r="D80" s="2"/>
      <c r="E80" s="2"/>
      <c r="F80" s="2"/>
      <c r="G80" s="2"/>
      <c r="H80" s="4"/>
    </row>
    <row r="81" ht="25.5" customHeight="1">
      <c r="B81" s="40" t="s">
        <v>7</v>
      </c>
      <c r="C81" s="40" t="s">
        <v>46</v>
      </c>
      <c r="D81" s="40" t="s">
        <v>47</v>
      </c>
      <c r="E81" s="40" t="s">
        <v>48</v>
      </c>
      <c r="F81" s="40" t="s">
        <v>49</v>
      </c>
      <c r="G81" s="40" t="s">
        <v>50</v>
      </c>
      <c r="H81" s="40" t="s">
        <v>19</v>
      </c>
    </row>
    <row r="82" ht="15.0" customHeight="1">
      <c r="B82" s="41">
        <v>1.0</v>
      </c>
      <c r="C82" s="52">
        <v>46147.0</v>
      </c>
      <c r="D82" s="53" t="s">
        <v>123</v>
      </c>
      <c r="E82" s="54"/>
      <c r="F82" s="55">
        <v>3250000.0</v>
      </c>
      <c r="G82" s="54" t="s">
        <v>53</v>
      </c>
      <c r="H82" s="57"/>
    </row>
    <row r="83" ht="15.0" customHeight="1">
      <c r="B83" s="58"/>
      <c r="C83" s="59"/>
      <c r="D83" s="61"/>
      <c r="E83" s="63"/>
      <c r="F83" s="65"/>
      <c r="G83" s="63"/>
      <c r="H83" s="68"/>
    </row>
    <row r="84" ht="15.0" customHeight="1">
      <c r="B84" s="58"/>
      <c r="C84" s="59"/>
      <c r="D84" s="61"/>
      <c r="E84" s="63"/>
      <c r="F84" s="65"/>
      <c r="G84" s="63"/>
      <c r="H84" s="68"/>
    </row>
    <row r="85" ht="15.0" customHeight="1">
      <c r="B85" s="58"/>
      <c r="C85" s="59"/>
      <c r="D85" s="61"/>
      <c r="E85" s="63"/>
      <c r="F85" s="65"/>
      <c r="G85" s="63"/>
      <c r="H85" s="68"/>
    </row>
    <row r="86" ht="15.0" customHeight="1">
      <c r="B86" s="58"/>
      <c r="C86" s="59"/>
      <c r="D86" s="61"/>
      <c r="E86" s="63"/>
      <c r="F86" s="65"/>
      <c r="G86" s="63"/>
      <c r="H86" s="68"/>
    </row>
    <row r="87" ht="15.0" customHeight="1">
      <c r="B87" s="58"/>
      <c r="C87" s="59"/>
      <c r="D87" s="61"/>
      <c r="E87" s="63"/>
      <c r="F87" s="65"/>
      <c r="G87" s="63"/>
      <c r="H87" s="68"/>
    </row>
    <row r="88" ht="15.75" customHeight="1"/>
    <row r="89" ht="19.5" customHeight="1">
      <c r="B89" s="37" t="str">
        <f>"③  " &amp; "63H04239" &amp; "   —   " &amp; COUNT($C$91:$C$96) &amp; " khoản · " &amp; TEXT(SUM($F$91:$F$96),"#,##0") &amp; "đ · còn nợ " &amp; TEXT(SUMIF($G$91:$G$96,"Chưa thanh toán",$F$91:$F$96),"#,##0") &amp; "đ"</f>
        <v>③  63H04239   —   0 khoản · 0đ · còn nợ 0đ</v>
      </c>
      <c r="C89" s="2"/>
      <c r="D89" s="2"/>
      <c r="E89" s="2"/>
      <c r="F89" s="2"/>
      <c r="G89" s="2"/>
      <c r="H89" s="4"/>
    </row>
    <row r="90" ht="25.5" customHeight="1">
      <c r="B90" s="70" t="s">
        <v>7</v>
      </c>
      <c r="C90" s="70" t="s">
        <v>46</v>
      </c>
      <c r="D90" s="70" t="s">
        <v>47</v>
      </c>
      <c r="E90" s="70" t="s">
        <v>48</v>
      </c>
      <c r="F90" s="70" t="s">
        <v>49</v>
      </c>
      <c r="G90" s="70" t="s">
        <v>50</v>
      </c>
      <c r="H90" s="70" t="s">
        <v>19</v>
      </c>
    </row>
    <row r="91" ht="15.0" customHeight="1">
      <c r="B91" s="71"/>
      <c r="C91" s="72"/>
      <c r="D91" s="73"/>
      <c r="E91" s="74"/>
      <c r="F91" s="76"/>
      <c r="G91" s="74"/>
      <c r="H91" s="78"/>
    </row>
    <row r="92" ht="15.0" customHeight="1">
      <c r="B92" s="71"/>
      <c r="C92" s="72"/>
      <c r="D92" s="73"/>
      <c r="E92" s="74"/>
      <c r="F92" s="76"/>
      <c r="G92" s="74"/>
      <c r="H92" s="78"/>
    </row>
    <row r="93" ht="15.0" customHeight="1">
      <c r="B93" s="71"/>
      <c r="C93" s="72"/>
      <c r="D93" s="73"/>
      <c r="E93" s="74"/>
      <c r="F93" s="76"/>
      <c r="G93" s="74"/>
      <c r="H93" s="78"/>
    </row>
    <row r="94" ht="15.0" customHeight="1">
      <c r="B94" s="71"/>
      <c r="C94" s="72"/>
      <c r="D94" s="73"/>
      <c r="E94" s="74"/>
      <c r="F94" s="76"/>
      <c r="G94" s="74"/>
      <c r="H94" s="78"/>
    </row>
    <row r="95" ht="15.0" customHeight="1">
      <c r="B95" s="71"/>
      <c r="C95" s="72"/>
      <c r="D95" s="73"/>
      <c r="E95" s="74"/>
      <c r="F95" s="76"/>
      <c r="G95" s="74"/>
      <c r="H95" s="78"/>
    </row>
    <row r="96" ht="15.0" customHeight="1">
      <c r="B96" s="71"/>
      <c r="C96" s="72"/>
      <c r="D96" s="73"/>
      <c r="E96" s="74"/>
      <c r="F96" s="76"/>
      <c r="G96" s="74"/>
      <c r="H96" s="78"/>
    </row>
    <row r="97" ht="15.75" customHeight="1"/>
    <row r="98" ht="19.5" customHeight="1">
      <c r="B98" s="37" t="str">
        <f>"③  " &amp; "63E01201" &amp; "   —   " &amp; COUNT($C$100:$C$105) &amp; " khoản · " &amp; TEXT(SUM($F$100:$F$105),"#,##0") &amp; "đ · còn nợ " &amp; TEXT(SUMIF($G$100:$G$105,"Chưa thanh toán",$F$100:$F$105),"#,##0") &amp; "đ"</f>
        <v>③  63E01201   —   0 khoản · 0đ · còn nợ 0đ</v>
      </c>
      <c r="C98" s="2"/>
      <c r="D98" s="2"/>
      <c r="E98" s="2"/>
      <c r="F98" s="2"/>
      <c r="G98" s="2"/>
      <c r="H98" s="4"/>
    </row>
    <row r="99" ht="25.5" customHeight="1">
      <c r="B99" s="40" t="s">
        <v>7</v>
      </c>
      <c r="C99" s="40" t="s">
        <v>46</v>
      </c>
      <c r="D99" s="40" t="s">
        <v>47</v>
      </c>
      <c r="E99" s="40" t="s">
        <v>48</v>
      </c>
      <c r="F99" s="40" t="s">
        <v>49</v>
      </c>
      <c r="G99" s="40" t="s">
        <v>50</v>
      </c>
      <c r="H99" s="40" t="s">
        <v>19</v>
      </c>
    </row>
    <row r="100" ht="15.0" customHeight="1">
      <c r="B100" s="58"/>
      <c r="C100" s="59"/>
      <c r="D100" s="61"/>
      <c r="E100" s="63"/>
      <c r="F100" s="65"/>
      <c r="G100" s="63"/>
      <c r="H100" s="68"/>
    </row>
    <row r="101" ht="15.0" customHeight="1">
      <c r="B101" s="58"/>
      <c r="C101" s="59"/>
      <c r="D101" s="61"/>
      <c r="E101" s="63"/>
      <c r="F101" s="65"/>
      <c r="G101" s="63"/>
      <c r="H101" s="68"/>
    </row>
    <row r="102" ht="15.0" customHeight="1">
      <c r="B102" s="58"/>
      <c r="C102" s="59"/>
      <c r="D102" s="61"/>
      <c r="E102" s="63"/>
      <c r="F102" s="65"/>
      <c r="G102" s="63"/>
      <c r="H102" s="68"/>
    </row>
    <row r="103" ht="15.0" customHeight="1">
      <c r="B103" s="58"/>
      <c r="C103" s="59"/>
      <c r="D103" s="61"/>
      <c r="E103" s="63"/>
      <c r="F103" s="65"/>
      <c r="G103" s="63"/>
      <c r="H103" s="68"/>
    </row>
    <row r="104" ht="15.0" customHeight="1">
      <c r="B104" s="58"/>
      <c r="C104" s="59"/>
      <c r="D104" s="61"/>
      <c r="E104" s="63"/>
      <c r="F104" s="65"/>
      <c r="G104" s="63"/>
      <c r="H104" s="68"/>
    </row>
    <row r="105" ht="15.0" customHeight="1">
      <c r="B105" s="58"/>
      <c r="C105" s="59"/>
      <c r="D105" s="61"/>
      <c r="E105" s="63"/>
      <c r="F105" s="65"/>
      <c r="G105" s="63"/>
      <c r="H105" s="68"/>
    </row>
    <row r="106" ht="15.75" customHeight="1"/>
    <row r="107" ht="19.5" customHeight="1">
      <c r="B107" s="37" t="str">
        <f>"③  " &amp; "63E01132" &amp; "   —   " &amp; COUNT($C$109:$C$114) &amp; " khoản · " &amp; TEXT(SUM($F$109:$F$114),"#,##0") &amp; "đ · còn nợ " &amp; TEXT(SUMIF($G$109:$G$114,"Chưa thanh toán",$F$109:$F$114),"#,##0") &amp; "đ"</f>
        <v>③  63E01132   —   1 khoản · 4.300.000đ · còn nợ 0đ</v>
      </c>
      <c r="C107" s="2"/>
      <c r="D107" s="2"/>
      <c r="E107" s="2"/>
      <c r="F107" s="2"/>
      <c r="G107" s="2"/>
      <c r="H107" s="4"/>
    </row>
    <row r="108" ht="25.5" customHeight="1">
      <c r="B108" s="70" t="s">
        <v>7</v>
      </c>
      <c r="C108" s="70" t="s">
        <v>46</v>
      </c>
      <c r="D108" s="70" t="s">
        <v>47</v>
      </c>
      <c r="E108" s="70" t="s">
        <v>48</v>
      </c>
      <c r="F108" s="70" t="s">
        <v>49</v>
      </c>
      <c r="G108" s="70" t="s">
        <v>50</v>
      </c>
      <c r="H108" s="70" t="s">
        <v>19</v>
      </c>
    </row>
    <row r="109" ht="15.0" customHeight="1">
      <c r="B109" s="94">
        <v>1.0</v>
      </c>
      <c r="C109" s="96">
        <v>46087.0</v>
      </c>
      <c r="D109" s="97" t="s">
        <v>124</v>
      </c>
      <c r="E109" s="99"/>
      <c r="F109" s="100">
        <v>4300000.0</v>
      </c>
      <c r="G109" s="99" t="s">
        <v>53</v>
      </c>
      <c r="H109" s="102" t="s">
        <v>125</v>
      </c>
    </row>
    <row r="110" ht="15.0" customHeight="1">
      <c r="B110" s="71"/>
      <c r="C110" s="72"/>
      <c r="D110" s="73"/>
      <c r="E110" s="74"/>
      <c r="F110" s="76"/>
      <c r="G110" s="74"/>
      <c r="H110" s="78"/>
    </row>
    <row r="111" ht="15.0" customHeight="1">
      <c r="B111" s="71"/>
      <c r="C111" s="72"/>
      <c r="D111" s="73"/>
      <c r="E111" s="74"/>
      <c r="F111" s="76"/>
      <c r="G111" s="74"/>
      <c r="H111" s="78"/>
    </row>
    <row r="112" ht="15.0" customHeight="1">
      <c r="B112" s="71"/>
      <c r="C112" s="72"/>
      <c r="D112" s="73"/>
      <c r="E112" s="74"/>
      <c r="F112" s="76"/>
      <c r="G112" s="74"/>
      <c r="H112" s="78"/>
    </row>
    <row r="113" ht="15.0" customHeight="1">
      <c r="B113" s="71"/>
      <c r="C113" s="72"/>
      <c r="D113" s="73"/>
      <c r="E113" s="74"/>
      <c r="F113" s="76"/>
      <c r="G113" s="74"/>
      <c r="H113" s="78"/>
    </row>
    <row r="114" ht="15.0" customHeight="1">
      <c r="B114" s="71"/>
      <c r="C114" s="72"/>
      <c r="D114" s="73"/>
      <c r="E114" s="74"/>
      <c r="F114" s="76"/>
      <c r="G114" s="74"/>
      <c r="H114" s="78"/>
    </row>
    <row r="115" ht="15.75" customHeight="1"/>
    <row r="116" ht="19.5" customHeight="1">
      <c r="B116" s="37" t="str">
        <f>"③  " &amp; "63F00516" &amp; "   —   " &amp; COUNT($C$118:$C$123) &amp; " khoản · " &amp; TEXT(SUM($F$118:$F$123),"#,##0") &amp; "đ · còn nợ " &amp; TEXT(SUMIF($G$118:$G$123,"Chưa thanh toán",$F$118:$F$123),"#,##0") &amp; "đ"</f>
        <v>③  63F00516   —   0 khoản · 0đ · còn nợ 0đ</v>
      </c>
      <c r="C116" s="2"/>
      <c r="D116" s="2"/>
      <c r="E116" s="2"/>
      <c r="F116" s="2"/>
      <c r="G116" s="2"/>
      <c r="H116" s="4"/>
    </row>
    <row r="117" ht="25.5" customHeight="1">
      <c r="B117" s="40" t="s">
        <v>7</v>
      </c>
      <c r="C117" s="40" t="s">
        <v>46</v>
      </c>
      <c r="D117" s="40" t="s">
        <v>47</v>
      </c>
      <c r="E117" s="40" t="s">
        <v>48</v>
      </c>
      <c r="F117" s="40" t="s">
        <v>49</v>
      </c>
      <c r="G117" s="40" t="s">
        <v>50</v>
      </c>
      <c r="H117" s="40" t="s">
        <v>19</v>
      </c>
    </row>
    <row r="118" ht="15.0" customHeight="1">
      <c r="B118" s="58"/>
      <c r="C118" s="59"/>
      <c r="D118" s="61"/>
      <c r="E118" s="63"/>
      <c r="F118" s="65"/>
      <c r="G118" s="63"/>
      <c r="H118" s="68"/>
    </row>
    <row r="119" ht="15.0" customHeight="1">
      <c r="B119" s="58"/>
      <c r="C119" s="59"/>
      <c r="D119" s="61"/>
      <c r="E119" s="63"/>
      <c r="F119" s="65"/>
      <c r="G119" s="63"/>
      <c r="H119" s="68"/>
    </row>
    <row r="120" ht="15.0" customHeight="1">
      <c r="B120" s="58"/>
      <c r="C120" s="59"/>
      <c r="D120" s="61"/>
      <c r="E120" s="63"/>
      <c r="F120" s="65"/>
      <c r="G120" s="63"/>
      <c r="H120" s="68"/>
    </row>
    <row r="121" ht="15.0" customHeight="1">
      <c r="B121" s="58"/>
      <c r="C121" s="59"/>
      <c r="D121" s="61"/>
      <c r="E121" s="63"/>
      <c r="F121" s="65"/>
      <c r="G121" s="63"/>
      <c r="H121" s="68"/>
    </row>
    <row r="122" ht="15.0" customHeight="1">
      <c r="B122" s="58"/>
      <c r="C122" s="59"/>
      <c r="D122" s="61"/>
      <c r="E122" s="63"/>
      <c r="F122" s="65"/>
      <c r="G122" s="63"/>
      <c r="H122" s="68"/>
    </row>
    <row r="123" ht="15.0" customHeight="1">
      <c r="B123" s="58"/>
      <c r="C123" s="59"/>
      <c r="D123" s="61"/>
      <c r="E123" s="63"/>
      <c r="F123" s="65"/>
      <c r="G123" s="63"/>
      <c r="H123" s="68"/>
    </row>
    <row r="124" ht="15.75" customHeight="1"/>
    <row r="125" ht="19.5" customHeight="1">
      <c r="B125" s="37" t="str">
        <f>"③  " &amp; "63E01276" &amp; "   —   " &amp; COUNT($C$127:$C$132) &amp; " khoản · " &amp; TEXT(SUM($F$127:$F$132),"#,##0") &amp; "đ · còn nợ " &amp; TEXT(SUMIF($G$127:$G$132,"Chưa thanh toán",$F$127:$F$132),"#,##0") &amp; "đ"</f>
        <v>③  63E01276   —   0 khoản · 0đ · còn nợ 0đ</v>
      </c>
      <c r="C125" s="2"/>
      <c r="D125" s="2"/>
      <c r="E125" s="2"/>
      <c r="F125" s="2"/>
      <c r="G125" s="2"/>
      <c r="H125" s="4"/>
    </row>
    <row r="126" ht="25.5" customHeight="1">
      <c r="B126" s="70" t="s">
        <v>7</v>
      </c>
      <c r="C126" s="70" t="s">
        <v>46</v>
      </c>
      <c r="D126" s="70" t="s">
        <v>47</v>
      </c>
      <c r="E126" s="70" t="s">
        <v>48</v>
      </c>
      <c r="F126" s="70" t="s">
        <v>49</v>
      </c>
      <c r="G126" s="70" t="s">
        <v>50</v>
      </c>
      <c r="H126" s="70" t="s">
        <v>19</v>
      </c>
    </row>
    <row r="127" ht="15.0" customHeight="1">
      <c r="B127" s="71"/>
      <c r="C127" s="72"/>
      <c r="D127" s="73"/>
      <c r="E127" s="74"/>
      <c r="F127" s="76"/>
      <c r="G127" s="74"/>
      <c r="H127" s="78"/>
    </row>
    <row r="128" ht="15.0" customHeight="1">
      <c r="B128" s="71"/>
      <c r="C128" s="72"/>
      <c r="D128" s="73"/>
      <c r="E128" s="74"/>
      <c r="F128" s="76"/>
      <c r="G128" s="74"/>
      <c r="H128" s="78"/>
    </row>
    <row r="129" ht="15.0" customHeight="1">
      <c r="B129" s="71"/>
      <c r="C129" s="72"/>
      <c r="D129" s="73"/>
      <c r="E129" s="74"/>
      <c r="F129" s="76"/>
      <c r="G129" s="74"/>
      <c r="H129" s="78"/>
    </row>
    <row r="130" ht="15.0" customHeight="1">
      <c r="B130" s="71"/>
      <c r="C130" s="72"/>
      <c r="D130" s="73"/>
      <c r="E130" s="74"/>
      <c r="F130" s="76"/>
      <c r="G130" s="74"/>
      <c r="H130" s="78"/>
    </row>
    <row r="131" ht="15.0" customHeight="1">
      <c r="B131" s="71"/>
      <c r="C131" s="72"/>
      <c r="D131" s="73"/>
      <c r="E131" s="74"/>
      <c r="F131" s="76"/>
      <c r="G131" s="74"/>
      <c r="H131" s="78"/>
    </row>
    <row r="132" ht="15.0" customHeight="1">
      <c r="B132" s="71"/>
      <c r="C132" s="72"/>
      <c r="D132" s="73"/>
      <c r="E132" s="74"/>
      <c r="F132" s="76"/>
      <c r="G132" s="74"/>
      <c r="H132" s="78"/>
    </row>
    <row r="133" ht="15.75" customHeight="1"/>
    <row r="134" ht="19.5" customHeight="1">
      <c r="B134" s="37" t="str">
        <f>"③  " &amp; "63E01118" &amp; "   —   " &amp; COUNT($C$136:$C$141) &amp; " khoản · " &amp; TEXT(SUM($F$136:$F$141),"#,##0") &amp; "đ · còn nợ " &amp; TEXT(SUMIF($G$136:$G$141,"Chưa thanh toán",$F$136:$F$141),"#,##0") &amp; "đ"</f>
        <v>③  63E01118   —   0 khoản · 0đ · còn nợ 0đ</v>
      </c>
      <c r="C134" s="2"/>
      <c r="D134" s="2"/>
      <c r="E134" s="2"/>
      <c r="F134" s="2"/>
      <c r="G134" s="2"/>
      <c r="H134" s="4"/>
    </row>
    <row r="135" ht="25.5" customHeight="1">
      <c r="B135" s="40" t="s">
        <v>7</v>
      </c>
      <c r="C135" s="40" t="s">
        <v>46</v>
      </c>
      <c r="D135" s="40" t="s">
        <v>47</v>
      </c>
      <c r="E135" s="40" t="s">
        <v>48</v>
      </c>
      <c r="F135" s="40" t="s">
        <v>49</v>
      </c>
      <c r="G135" s="40" t="s">
        <v>50</v>
      </c>
      <c r="H135" s="40" t="s">
        <v>19</v>
      </c>
    </row>
    <row r="136" ht="15.0" customHeight="1">
      <c r="B136" s="58"/>
      <c r="C136" s="59"/>
      <c r="D136" s="61"/>
      <c r="E136" s="63"/>
      <c r="F136" s="65"/>
      <c r="G136" s="63"/>
      <c r="H136" s="68"/>
    </row>
    <row r="137" ht="15.0" customHeight="1">
      <c r="B137" s="58"/>
      <c r="C137" s="59"/>
      <c r="D137" s="61"/>
      <c r="E137" s="63"/>
      <c r="F137" s="65"/>
      <c r="G137" s="63"/>
      <c r="H137" s="68"/>
    </row>
    <row r="138" ht="15.0" customHeight="1">
      <c r="B138" s="58"/>
      <c r="C138" s="59"/>
      <c r="D138" s="61"/>
      <c r="E138" s="63"/>
      <c r="F138" s="65"/>
      <c r="G138" s="63"/>
      <c r="H138" s="68"/>
    </row>
    <row r="139" ht="15.0" customHeight="1">
      <c r="B139" s="58"/>
      <c r="C139" s="59"/>
      <c r="D139" s="61"/>
      <c r="E139" s="63"/>
      <c r="F139" s="65"/>
      <c r="G139" s="63"/>
      <c r="H139" s="68"/>
    </row>
    <row r="140" ht="15.0" customHeight="1">
      <c r="B140" s="58"/>
      <c r="C140" s="59"/>
      <c r="D140" s="61"/>
      <c r="E140" s="63"/>
      <c r="F140" s="65"/>
      <c r="G140" s="63"/>
      <c r="H140" s="68"/>
    </row>
    <row r="141" ht="15.0" customHeight="1">
      <c r="B141" s="58"/>
      <c r="C141" s="59"/>
      <c r="D141" s="61"/>
      <c r="E141" s="63"/>
      <c r="F141" s="65"/>
      <c r="G141" s="63"/>
      <c r="H141" s="68"/>
    </row>
    <row r="142" ht="15.75" customHeight="1"/>
    <row r="143" ht="19.5" customHeight="1">
      <c r="B143" s="37" t="str">
        <f>"③  " &amp; "63E01103" &amp; "   —   " &amp; COUNT($C$145:$C$150) &amp; " khoản · " &amp; TEXT(SUM($F$145:$F$150),"#,##0") &amp; "đ · còn nợ " &amp; TEXT(SUMIF($G$145:$G$150,"Chưa thanh toán",$F$145:$F$150),"#,##0") &amp; "đ"</f>
        <v>③  63E01103   —   0 khoản · 0đ · còn nợ 0đ</v>
      </c>
      <c r="C143" s="2"/>
      <c r="D143" s="2"/>
      <c r="E143" s="2"/>
      <c r="F143" s="2"/>
      <c r="G143" s="2"/>
      <c r="H143" s="4"/>
    </row>
    <row r="144" ht="25.5" customHeight="1">
      <c r="B144" s="70" t="s">
        <v>7</v>
      </c>
      <c r="C144" s="70" t="s">
        <v>46</v>
      </c>
      <c r="D144" s="70" t="s">
        <v>47</v>
      </c>
      <c r="E144" s="70" t="s">
        <v>48</v>
      </c>
      <c r="F144" s="70" t="s">
        <v>49</v>
      </c>
      <c r="G144" s="70" t="s">
        <v>50</v>
      </c>
      <c r="H144" s="70" t="s">
        <v>19</v>
      </c>
    </row>
    <row r="145" ht="15.0" customHeight="1">
      <c r="B145" s="71"/>
      <c r="C145" s="72"/>
      <c r="D145" s="73"/>
      <c r="E145" s="74"/>
      <c r="F145" s="76"/>
      <c r="G145" s="74"/>
      <c r="H145" s="78"/>
    </row>
    <row r="146" ht="15.0" customHeight="1">
      <c r="B146" s="71"/>
      <c r="C146" s="72"/>
      <c r="D146" s="73"/>
      <c r="E146" s="74"/>
      <c r="F146" s="76"/>
      <c r="G146" s="74"/>
      <c r="H146" s="78"/>
    </row>
    <row r="147" ht="15.0" customHeight="1">
      <c r="B147" s="71"/>
      <c r="C147" s="72"/>
      <c r="D147" s="73"/>
      <c r="E147" s="74"/>
      <c r="F147" s="76"/>
      <c r="G147" s="74"/>
      <c r="H147" s="78"/>
    </row>
    <row r="148" ht="15.0" customHeight="1">
      <c r="B148" s="71"/>
      <c r="C148" s="72"/>
      <c r="D148" s="73"/>
      <c r="E148" s="74"/>
      <c r="F148" s="76"/>
      <c r="G148" s="74"/>
      <c r="H148" s="78"/>
    </row>
    <row r="149" ht="15.0" customHeight="1">
      <c r="B149" s="71"/>
      <c r="C149" s="72"/>
      <c r="D149" s="73"/>
      <c r="E149" s="74"/>
      <c r="F149" s="76"/>
      <c r="G149" s="74"/>
      <c r="H149" s="78"/>
    </row>
    <row r="150" ht="15.0" customHeight="1">
      <c r="B150" s="71"/>
      <c r="C150" s="72"/>
      <c r="D150" s="73"/>
      <c r="E150" s="74"/>
      <c r="F150" s="76"/>
      <c r="G150" s="74"/>
      <c r="H150" s="78"/>
    </row>
    <row r="151" ht="15.75" customHeight="1"/>
    <row r="152" ht="19.5" customHeight="1">
      <c r="B152" s="37" t="str">
        <f>"③  " &amp; "63F00511" &amp; "   —   " &amp; COUNT($C$154:$C$159) &amp; " khoản · " &amp; TEXT(SUM($F$154:$F$159),"#,##0") &amp; "đ · còn nợ " &amp; TEXT(SUMIF($G$154:$G$159,"Chưa thanh toán",$F$154:$F$159),"#,##0") &amp; "đ"</f>
        <v>③  63F00511   —   0 khoản · 0đ · còn nợ 0đ</v>
      </c>
      <c r="C152" s="2"/>
      <c r="D152" s="2"/>
      <c r="E152" s="2"/>
      <c r="F152" s="2"/>
      <c r="G152" s="2"/>
      <c r="H152" s="4"/>
    </row>
    <row r="153" ht="25.5" customHeight="1">
      <c r="B153" s="40" t="s">
        <v>7</v>
      </c>
      <c r="C153" s="40" t="s">
        <v>46</v>
      </c>
      <c r="D153" s="40" t="s">
        <v>47</v>
      </c>
      <c r="E153" s="40" t="s">
        <v>48</v>
      </c>
      <c r="F153" s="40" t="s">
        <v>49</v>
      </c>
      <c r="G153" s="40" t="s">
        <v>50</v>
      </c>
      <c r="H153" s="40" t="s">
        <v>19</v>
      </c>
    </row>
    <row r="154" ht="15.0" customHeight="1">
      <c r="B154" s="58"/>
      <c r="C154" s="59"/>
      <c r="D154" s="61"/>
      <c r="E154" s="63"/>
      <c r="F154" s="65"/>
      <c r="G154" s="63"/>
      <c r="H154" s="68"/>
    </row>
    <row r="155" ht="15.0" customHeight="1">
      <c r="B155" s="58"/>
      <c r="C155" s="59"/>
      <c r="D155" s="61"/>
      <c r="E155" s="63"/>
      <c r="F155" s="65"/>
      <c r="G155" s="63"/>
      <c r="H155" s="68"/>
    </row>
    <row r="156" ht="15.0" customHeight="1">
      <c r="B156" s="58"/>
      <c r="C156" s="59"/>
      <c r="D156" s="61"/>
      <c r="E156" s="63"/>
      <c r="F156" s="65"/>
      <c r="G156" s="63"/>
      <c r="H156" s="68"/>
    </row>
    <row r="157" ht="15.0" customHeight="1">
      <c r="B157" s="58"/>
      <c r="C157" s="59"/>
      <c r="D157" s="61"/>
      <c r="E157" s="63"/>
      <c r="F157" s="65"/>
      <c r="G157" s="63"/>
      <c r="H157" s="68"/>
    </row>
    <row r="158" ht="15.0" customHeight="1">
      <c r="B158" s="58"/>
      <c r="C158" s="59"/>
      <c r="D158" s="61"/>
      <c r="E158" s="63"/>
      <c r="F158" s="65"/>
      <c r="G158" s="63"/>
      <c r="H158" s="68"/>
    </row>
    <row r="159" ht="15.0" customHeight="1">
      <c r="B159" s="58"/>
      <c r="C159" s="59"/>
      <c r="D159" s="61"/>
      <c r="E159" s="63"/>
      <c r="F159" s="65"/>
      <c r="G159" s="63"/>
      <c r="H159" s="68"/>
    </row>
    <row r="160" ht="15.75" customHeight="1"/>
    <row r="161" ht="19.5" customHeight="1">
      <c r="B161" s="37" t="str">
        <f>"③  " &amp; "63H04234" &amp; "   —   " &amp; COUNT($C$163:$C$168) &amp; " khoản · " &amp; TEXT(SUM($F$163:$F$168),"#,##0") &amp; "đ · còn nợ " &amp; TEXT(SUMIF($G$163:$G$168,"Chưa thanh toán",$F$163:$F$168),"#,##0") &amp; "đ"</f>
        <v>③  63H04234   —   0 khoản · 0đ · còn nợ 0đ</v>
      </c>
      <c r="C161" s="2"/>
      <c r="D161" s="2"/>
      <c r="E161" s="2"/>
      <c r="F161" s="2"/>
      <c r="G161" s="2"/>
      <c r="H161" s="4"/>
    </row>
    <row r="162" ht="25.5" customHeight="1">
      <c r="B162" s="70" t="s">
        <v>7</v>
      </c>
      <c r="C162" s="70" t="s">
        <v>46</v>
      </c>
      <c r="D162" s="70" t="s">
        <v>47</v>
      </c>
      <c r="E162" s="70" t="s">
        <v>48</v>
      </c>
      <c r="F162" s="70" t="s">
        <v>49</v>
      </c>
      <c r="G162" s="70" t="s">
        <v>50</v>
      </c>
      <c r="H162" s="70" t="s">
        <v>19</v>
      </c>
    </row>
    <row r="163" ht="15.0" customHeight="1">
      <c r="B163" s="71"/>
      <c r="C163" s="72"/>
      <c r="D163" s="73"/>
      <c r="E163" s="74"/>
      <c r="F163" s="76"/>
      <c r="G163" s="74"/>
      <c r="H163" s="78"/>
    </row>
    <row r="164" ht="15.0" customHeight="1">
      <c r="B164" s="71"/>
      <c r="C164" s="72"/>
      <c r="D164" s="73"/>
      <c r="E164" s="74"/>
      <c r="F164" s="76"/>
      <c r="G164" s="74"/>
      <c r="H164" s="78"/>
    </row>
    <row r="165" ht="15.0" customHeight="1">
      <c r="B165" s="71"/>
      <c r="C165" s="72"/>
      <c r="D165" s="73"/>
      <c r="E165" s="74"/>
      <c r="F165" s="76"/>
      <c r="G165" s="74"/>
      <c r="H165" s="78"/>
    </row>
    <row r="166" ht="15.0" customHeight="1">
      <c r="B166" s="71"/>
      <c r="C166" s="72"/>
      <c r="D166" s="73"/>
      <c r="E166" s="74"/>
      <c r="F166" s="76"/>
      <c r="G166" s="74"/>
      <c r="H166" s="78"/>
    </row>
    <row r="167" ht="15.0" customHeight="1">
      <c r="B167" s="71"/>
      <c r="C167" s="72"/>
      <c r="D167" s="73"/>
      <c r="E167" s="74"/>
      <c r="F167" s="76"/>
      <c r="G167" s="74"/>
      <c r="H167" s="78"/>
    </row>
    <row r="168" ht="15.0" customHeight="1">
      <c r="B168" s="71"/>
      <c r="C168" s="72"/>
      <c r="D168" s="73"/>
      <c r="E168" s="74"/>
      <c r="F168" s="76"/>
      <c r="G168" s="74"/>
      <c r="H168" s="78"/>
    </row>
    <row r="169" ht="15.75" customHeight="1"/>
    <row r="170" ht="19.5" customHeight="1">
      <c r="B170" s="37" t="str">
        <f>"③  " &amp; "63E01235" &amp; "   —   " &amp; COUNT($C$172:$C$177) &amp; " khoản · " &amp; TEXT(SUM($F$172:$F$177),"#,##0") &amp; "đ · còn nợ " &amp; TEXT(SUMIF($G$172:$G$177,"Chưa thanh toán",$F$172:$F$177),"#,##0") &amp; "đ"</f>
        <v>③  63E01235   —   1 khoản · 4.050.000đ · còn nợ 0đ</v>
      </c>
      <c r="C170" s="2"/>
      <c r="D170" s="2"/>
      <c r="E170" s="2"/>
      <c r="F170" s="2"/>
      <c r="G170" s="2"/>
      <c r="H170" s="4"/>
    </row>
    <row r="171" ht="25.5" customHeight="1">
      <c r="B171" s="40" t="s">
        <v>7</v>
      </c>
      <c r="C171" s="40" t="s">
        <v>46</v>
      </c>
      <c r="D171" s="40" t="s">
        <v>47</v>
      </c>
      <c r="E171" s="40" t="s">
        <v>48</v>
      </c>
      <c r="F171" s="40" t="s">
        <v>49</v>
      </c>
      <c r="G171" s="40" t="s">
        <v>50</v>
      </c>
      <c r="H171" s="40" t="s">
        <v>19</v>
      </c>
    </row>
    <row r="172" ht="15.0" customHeight="1">
      <c r="B172" s="41">
        <v>1.0</v>
      </c>
      <c r="C172" s="52">
        <v>46178.0</v>
      </c>
      <c r="D172" s="53" t="s">
        <v>145</v>
      </c>
      <c r="E172" s="54"/>
      <c r="F172" s="55">
        <v>4050000.0</v>
      </c>
      <c r="G172" s="54" t="s">
        <v>53</v>
      </c>
      <c r="H172" s="57"/>
    </row>
    <row r="173" ht="15.0" customHeight="1">
      <c r="B173" s="58"/>
      <c r="C173" s="59"/>
      <c r="D173" s="61"/>
      <c r="E173" s="63"/>
      <c r="F173" s="65"/>
      <c r="G173" s="63"/>
      <c r="H173" s="68"/>
    </row>
    <row r="174" ht="15.0" customHeight="1">
      <c r="B174" s="58"/>
      <c r="C174" s="59"/>
      <c r="D174" s="61"/>
      <c r="E174" s="63"/>
      <c r="F174" s="65"/>
      <c r="G174" s="63"/>
      <c r="H174" s="68"/>
    </row>
    <row r="175" ht="15.0" customHeight="1">
      <c r="B175" s="58"/>
      <c r="C175" s="59"/>
      <c r="D175" s="61"/>
      <c r="E175" s="63"/>
      <c r="F175" s="65"/>
      <c r="G175" s="63"/>
      <c r="H175" s="68"/>
    </row>
    <row r="176" ht="15.0" customHeight="1">
      <c r="B176" s="58"/>
      <c r="C176" s="59"/>
      <c r="D176" s="61"/>
      <c r="E176" s="63"/>
      <c r="F176" s="65"/>
      <c r="G176" s="63"/>
      <c r="H176" s="68"/>
    </row>
    <row r="177" ht="15.0" customHeight="1">
      <c r="B177" s="58"/>
      <c r="C177" s="59"/>
      <c r="D177" s="61"/>
      <c r="E177" s="63"/>
      <c r="F177" s="65"/>
      <c r="G177" s="63"/>
      <c r="H177" s="68"/>
    </row>
    <row r="178" ht="15.75" customHeight="1"/>
    <row r="179" ht="19.5" customHeight="1">
      <c r="B179" s="37" t="str">
        <f>"③  " &amp; "63G00297" &amp; "   —   " &amp; COUNT($C$181:$C$186) &amp; " khoản · " &amp; TEXT(SUM($F$181:$F$186),"#,##0") &amp; "đ · còn nợ " &amp; TEXT(SUMIF($G$181:$G$186,"Chưa thanh toán",$F$181:$F$186),"#,##0") &amp; "đ"</f>
        <v>③  63G00297   —   0 khoản · 0đ · còn nợ 0đ</v>
      </c>
      <c r="C179" s="2"/>
      <c r="D179" s="2"/>
      <c r="E179" s="2"/>
      <c r="F179" s="2"/>
      <c r="G179" s="2"/>
      <c r="H179" s="4"/>
    </row>
    <row r="180" ht="25.5" customHeight="1">
      <c r="B180" s="70" t="s">
        <v>7</v>
      </c>
      <c r="C180" s="70" t="s">
        <v>46</v>
      </c>
      <c r="D180" s="70" t="s">
        <v>47</v>
      </c>
      <c r="E180" s="70" t="s">
        <v>48</v>
      </c>
      <c r="F180" s="70" t="s">
        <v>49</v>
      </c>
      <c r="G180" s="70" t="s">
        <v>50</v>
      </c>
      <c r="H180" s="70" t="s">
        <v>19</v>
      </c>
    </row>
    <row r="181" ht="15.0" customHeight="1">
      <c r="B181" s="71"/>
      <c r="C181" s="72"/>
      <c r="D181" s="73"/>
      <c r="E181" s="74"/>
      <c r="F181" s="76"/>
      <c r="G181" s="74"/>
      <c r="H181" s="78"/>
    </row>
    <row r="182" ht="15.0" customHeight="1">
      <c r="B182" s="71"/>
      <c r="C182" s="72"/>
      <c r="D182" s="73"/>
      <c r="E182" s="74"/>
      <c r="F182" s="76"/>
      <c r="G182" s="74"/>
      <c r="H182" s="78"/>
    </row>
    <row r="183" ht="15.0" customHeight="1">
      <c r="B183" s="71"/>
      <c r="C183" s="72"/>
      <c r="D183" s="73"/>
      <c r="E183" s="74"/>
      <c r="F183" s="76"/>
      <c r="G183" s="74"/>
      <c r="H183" s="78"/>
    </row>
    <row r="184" ht="15.0" customHeight="1">
      <c r="B184" s="71"/>
      <c r="C184" s="72"/>
      <c r="D184" s="73"/>
      <c r="E184" s="74"/>
      <c r="F184" s="76"/>
      <c r="G184" s="74"/>
      <c r="H184" s="78"/>
    </row>
    <row r="185" ht="15.0" customHeight="1">
      <c r="B185" s="71"/>
      <c r="C185" s="72"/>
      <c r="D185" s="73"/>
      <c r="E185" s="74"/>
      <c r="F185" s="76"/>
      <c r="G185" s="74"/>
      <c r="H185" s="78"/>
    </row>
    <row r="186" ht="15.0" customHeight="1">
      <c r="B186" s="71"/>
      <c r="C186" s="72"/>
      <c r="D186" s="73"/>
      <c r="E186" s="74"/>
      <c r="F186" s="76"/>
      <c r="G186" s="74"/>
      <c r="H186" s="78"/>
    </row>
    <row r="187" ht="15.75" customHeight="1"/>
    <row r="188" ht="19.5" customHeight="1">
      <c r="B188" s="37" t="str">
        <f>"③  " &amp; "63E01141" &amp; "   —   " &amp; COUNT($C$190:$C$196) &amp; " khoản · " &amp; TEXT(SUM($F$190:$F$196),"#,##0") &amp; "đ · còn nợ " &amp; TEXT(SUMIF($G$190:$G$196,"Chưa thanh toán",$F$190:$F$196),"#,##0") &amp; "đ"</f>
        <v>③  63E01141   —   2 khoản · 5.200.000đ · còn nợ 0đ</v>
      </c>
      <c r="C188" s="2"/>
      <c r="D188" s="2"/>
      <c r="E188" s="2"/>
      <c r="F188" s="2"/>
      <c r="G188" s="2"/>
      <c r="H188" s="4"/>
    </row>
    <row r="189" ht="25.5" customHeight="1">
      <c r="B189" s="40" t="s">
        <v>7</v>
      </c>
      <c r="C189" s="40" t="s">
        <v>46</v>
      </c>
      <c r="D189" s="40" t="s">
        <v>47</v>
      </c>
      <c r="E189" s="40" t="s">
        <v>48</v>
      </c>
      <c r="F189" s="40" t="s">
        <v>49</v>
      </c>
      <c r="G189" s="40" t="s">
        <v>50</v>
      </c>
      <c r="H189" s="40" t="s">
        <v>19</v>
      </c>
    </row>
    <row r="190" ht="15.0" customHeight="1">
      <c r="B190" s="94">
        <v>1.0</v>
      </c>
      <c r="C190" s="96">
        <v>46270.0</v>
      </c>
      <c r="D190" s="97" t="s">
        <v>149</v>
      </c>
      <c r="E190" s="99"/>
      <c r="F190" s="100">
        <v>5200000.0</v>
      </c>
      <c r="G190" s="99" t="s">
        <v>53</v>
      </c>
      <c r="H190" s="102" t="s">
        <v>150</v>
      </c>
    </row>
    <row r="191" ht="15.0" customHeight="1">
      <c r="B191" s="94">
        <v>2.0</v>
      </c>
      <c r="C191" s="96">
        <v>46221.0</v>
      </c>
      <c r="D191" s="97" t="s">
        <v>151</v>
      </c>
      <c r="E191" s="99"/>
      <c r="F191" s="100"/>
      <c r="G191" s="139" t="s">
        <v>152</v>
      </c>
      <c r="H191" s="102" t="s">
        <v>153</v>
      </c>
    </row>
    <row r="192" ht="15.0" customHeight="1">
      <c r="B192" s="58"/>
      <c r="C192" s="59"/>
      <c r="D192" s="61"/>
      <c r="E192" s="63"/>
      <c r="F192" s="65"/>
      <c r="G192" s="63"/>
      <c r="H192" s="68"/>
    </row>
    <row r="193" ht="15.0" customHeight="1">
      <c r="B193" s="58"/>
      <c r="C193" s="59"/>
      <c r="D193" s="61"/>
      <c r="E193" s="63"/>
      <c r="F193" s="65"/>
      <c r="G193" s="63"/>
      <c r="H193" s="68"/>
    </row>
    <row r="194" ht="15.0" customHeight="1">
      <c r="B194" s="58"/>
      <c r="C194" s="59"/>
      <c r="D194" s="61"/>
      <c r="E194" s="63"/>
      <c r="F194" s="65"/>
      <c r="G194" s="63"/>
      <c r="H194" s="68"/>
    </row>
    <row r="195" ht="15.0" customHeight="1">
      <c r="B195" s="58"/>
      <c r="C195" s="59"/>
      <c r="D195" s="61"/>
      <c r="E195" s="63"/>
      <c r="F195" s="65"/>
      <c r="G195" s="63"/>
      <c r="H195" s="68"/>
    </row>
    <row r="196" ht="15.0" customHeight="1">
      <c r="B196" s="58"/>
      <c r="C196" s="59"/>
      <c r="D196" s="61"/>
      <c r="E196" s="63"/>
      <c r="F196" s="65"/>
      <c r="G196" s="63"/>
      <c r="H196" s="68"/>
    </row>
    <row r="197" ht="15.75" customHeight="1"/>
    <row r="198" ht="19.5" customHeight="1">
      <c r="B198" s="37" t="str">
        <f>"③  " &amp; "63E01212" &amp; "   —   " &amp; COUNT($C$200:$C$206) &amp; " khoản · " &amp; TEXT(SUM($F$200:$F$206),"#,##0") &amp; "đ · còn nợ " &amp; TEXT(SUMIF($G$200:$G$206,"Chưa thanh toán",$F$200:$F$206),"#,##0") &amp; "đ"</f>
        <v>③  63E01212   —   2 khoản · 1.100.000đ · còn nợ 1.100.000đ</v>
      </c>
      <c r="C198" s="2"/>
      <c r="D198" s="2"/>
      <c r="E198" s="2"/>
      <c r="F198" s="2"/>
      <c r="G198" s="2"/>
      <c r="H198" s="4"/>
    </row>
    <row r="199" ht="25.5" customHeight="1">
      <c r="B199" s="70" t="s">
        <v>7</v>
      </c>
      <c r="C199" s="70" t="s">
        <v>46</v>
      </c>
      <c r="D199" s="70" t="s">
        <v>47</v>
      </c>
      <c r="E199" s="70" t="s">
        <v>48</v>
      </c>
      <c r="F199" s="70" t="s">
        <v>49</v>
      </c>
      <c r="G199" s="70" t="s">
        <v>50</v>
      </c>
      <c r="H199" s="70" t="s">
        <v>19</v>
      </c>
    </row>
    <row r="200" ht="15.0" customHeight="1">
      <c r="B200" s="94">
        <v>1.0</v>
      </c>
      <c r="C200" s="96">
        <v>46270.0</v>
      </c>
      <c r="D200" s="97" t="s">
        <v>149</v>
      </c>
      <c r="E200" s="99"/>
      <c r="F200" s="100"/>
      <c r="G200" s="99" t="s">
        <v>53</v>
      </c>
      <c r="H200" s="102" t="s">
        <v>156</v>
      </c>
    </row>
    <row r="201" ht="15.0" customHeight="1">
      <c r="B201" s="94">
        <v>2.0</v>
      </c>
      <c r="C201" s="96">
        <v>46221.0</v>
      </c>
      <c r="D201" s="97" t="s">
        <v>151</v>
      </c>
      <c r="E201" s="99"/>
      <c r="F201" s="100">
        <v>1100000.0</v>
      </c>
      <c r="G201" s="139" t="s">
        <v>152</v>
      </c>
      <c r="H201" s="102" t="s">
        <v>157</v>
      </c>
    </row>
    <row r="202" ht="15.0" customHeight="1">
      <c r="B202" s="71"/>
      <c r="C202" s="72"/>
      <c r="D202" s="73"/>
      <c r="E202" s="74"/>
      <c r="F202" s="76"/>
      <c r="G202" s="74"/>
      <c r="H202" s="78"/>
    </row>
    <row r="203" ht="15.0" customHeight="1">
      <c r="B203" s="71"/>
      <c r="C203" s="72"/>
      <c r="D203" s="73"/>
      <c r="E203" s="74"/>
      <c r="F203" s="76"/>
      <c r="G203" s="74"/>
      <c r="H203" s="78"/>
    </row>
    <row r="204" ht="15.0" customHeight="1">
      <c r="B204" s="71"/>
      <c r="C204" s="72"/>
      <c r="D204" s="73"/>
      <c r="E204" s="74"/>
      <c r="F204" s="76"/>
      <c r="G204" s="74"/>
      <c r="H204" s="78"/>
    </row>
    <row r="205" ht="15.0" customHeight="1">
      <c r="B205" s="71"/>
      <c r="C205" s="72"/>
      <c r="D205" s="73"/>
      <c r="E205" s="74"/>
      <c r="F205" s="76"/>
      <c r="G205" s="74"/>
      <c r="H205" s="78"/>
    </row>
    <row r="206" ht="15.0" customHeight="1">
      <c r="B206" s="71"/>
      <c r="C206" s="72"/>
      <c r="D206" s="73"/>
      <c r="E206" s="74"/>
      <c r="F206" s="76"/>
      <c r="G206" s="74"/>
      <c r="H206" s="78"/>
    </row>
    <row r="207" ht="15.75" customHeight="1"/>
    <row r="208" ht="19.5" customHeight="1">
      <c r="B208" s="37" t="str">
        <f>"③  " &amp; "63G00280" &amp; "   —   " &amp; COUNT($C$210:$C$215) &amp; " khoản · " &amp; TEXT(SUM($F$210:$F$215),"#,##0") &amp; "đ · còn nợ " &amp; TEXT(SUMIF($G$210:$G$215,"Chưa thanh toán",$F$210:$F$215),"#,##0") &amp; "đ"</f>
        <v>③  63G00280   —   0 khoản · 0đ · còn nợ 0đ</v>
      </c>
      <c r="C208" s="2"/>
      <c r="D208" s="2"/>
      <c r="E208" s="2"/>
      <c r="F208" s="2"/>
      <c r="G208" s="2"/>
      <c r="H208" s="4"/>
    </row>
    <row r="209" ht="25.5" customHeight="1">
      <c r="B209" s="40" t="s">
        <v>7</v>
      </c>
      <c r="C209" s="40" t="s">
        <v>46</v>
      </c>
      <c r="D209" s="40" t="s">
        <v>47</v>
      </c>
      <c r="E209" s="40" t="s">
        <v>48</v>
      </c>
      <c r="F209" s="40" t="s">
        <v>49</v>
      </c>
      <c r="G209" s="40" t="s">
        <v>50</v>
      </c>
      <c r="H209" s="40" t="s">
        <v>19</v>
      </c>
    </row>
    <row r="210" ht="15.0" customHeight="1">
      <c r="B210" s="58"/>
      <c r="C210" s="59"/>
      <c r="D210" s="61"/>
      <c r="E210" s="63"/>
      <c r="F210" s="65"/>
      <c r="G210" s="63"/>
      <c r="H210" s="68"/>
    </row>
    <row r="211" ht="15.0" customHeight="1">
      <c r="B211" s="58"/>
      <c r="C211" s="59"/>
      <c r="D211" s="61"/>
      <c r="E211" s="63"/>
      <c r="F211" s="65"/>
      <c r="G211" s="63"/>
      <c r="H211" s="68"/>
    </row>
    <row r="212" ht="15.0" customHeight="1">
      <c r="B212" s="58"/>
      <c r="C212" s="59"/>
      <c r="D212" s="61"/>
      <c r="E212" s="63"/>
      <c r="F212" s="65"/>
      <c r="G212" s="63"/>
      <c r="H212" s="68"/>
    </row>
    <row r="213" ht="15.0" customHeight="1">
      <c r="B213" s="58"/>
      <c r="C213" s="59"/>
      <c r="D213" s="61"/>
      <c r="E213" s="63"/>
      <c r="F213" s="65"/>
      <c r="G213" s="63"/>
      <c r="H213" s="68"/>
    </row>
    <row r="214" ht="15.0" customHeight="1">
      <c r="B214" s="58"/>
      <c r="C214" s="59"/>
      <c r="D214" s="61"/>
      <c r="E214" s="63"/>
      <c r="F214" s="65"/>
      <c r="G214" s="63"/>
      <c r="H214" s="68"/>
    </row>
    <row r="215" ht="15.0" customHeight="1">
      <c r="B215" s="58"/>
      <c r="C215" s="59"/>
      <c r="D215" s="61"/>
      <c r="E215" s="63"/>
      <c r="F215" s="65"/>
      <c r="G215" s="63"/>
      <c r="H215" s="68"/>
    </row>
    <row r="216" ht="15.75" customHeight="1"/>
    <row r="217" ht="19.5" customHeight="1">
      <c r="B217" s="37" t="str">
        <f>"③  " &amp; "63H04236" &amp; "   —   " &amp; COUNT($C$219:$C$224) &amp; " khoản · " &amp; TEXT(SUM($F$219:$F$224),"#,##0") &amp; "đ · còn nợ " &amp; TEXT(SUMIF($G$219:$G$224,"Chưa thanh toán",$F$219:$F$224),"#,##0") &amp; "đ"</f>
        <v>③  63H04236   —   1 khoản · 3.250.000đ · còn nợ 0đ</v>
      </c>
      <c r="C217" s="2"/>
      <c r="D217" s="2"/>
      <c r="E217" s="2"/>
      <c r="F217" s="2"/>
      <c r="G217" s="2"/>
      <c r="H217" s="4"/>
    </row>
    <row r="218" ht="25.5" customHeight="1">
      <c r="B218" s="70" t="s">
        <v>7</v>
      </c>
      <c r="C218" s="70" t="s">
        <v>46</v>
      </c>
      <c r="D218" s="70" t="s">
        <v>47</v>
      </c>
      <c r="E218" s="70" t="s">
        <v>48</v>
      </c>
      <c r="F218" s="70" t="s">
        <v>49</v>
      </c>
      <c r="G218" s="70" t="s">
        <v>50</v>
      </c>
      <c r="H218" s="70" t="s">
        <v>19</v>
      </c>
    </row>
    <row r="219" ht="15.0" customHeight="1">
      <c r="B219" s="94">
        <v>1.0</v>
      </c>
      <c r="C219" s="96">
        <v>46087.0</v>
      </c>
      <c r="D219" s="97" t="s">
        <v>162</v>
      </c>
      <c r="E219" s="99"/>
      <c r="F219" s="100">
        <v>3250000.0</v>
      </c>
      <c r="G219" s="99" t="s">
        <v>53</v>
      </c>
      <c r="H219" s="102" t="s">
        <v>125</v>
      </c>
    </row>
    <row r="220" ht="15.0" customHeight="1">
      <c r="B220" s="71"/>
      <c r="C220" s="72"/>
      <c r="D220" s="73"/>
      <c r="E220" s="74"/>
      <c r="F220" s="76"/>
      <c r="G220" s="74"/>
      <c r="H220" s="78"/>
    </row>
    <row r="221" ht="15.0" customHeight="1">
      <c r="B221" s="71"/>
      <c r="C221" s="72"/>
      <c r="D221" s="73"/>
      <c r="E221" s="74"/>
      <c r="F221" s="76"/>
      <c r="G221" s="74"/>
      <c r="H221" s="78"/>
    </row>
    <row r="222" ht="15.0" customHeight="1">
      <c r="B222" s="71"/>
      <c r="C222" s="72"/>
      <c r="D222" s="73"/>
      <c r="E222" s="74"/>
      <c r="F222" s="76"/>
      <c r="G222" s="74"/>
      <c r="H222" s="78"/>
    </row>
    <row r="223" ht="15.0" customHeight="1">
      <c r="B223" s="71"/>
      <c r="C223" s="72"/>
      <c r="D223" s="73"/>
      <c r="E223" s="74"/>
      <c r="F223" s="76"/>
      <c r="G223" s="74"/>
      <c r="H223" s="78"/>
    </row>
    <row r="224" ht="15.0" customHeight="1">
      <c r="B224" s="71"/>
      <c r="C224" s="72"/>
      <c r="D224" s="73"/>
      <c r="E224" s="74"/>
      <c r="F224" s="76"/>
      <c r="G224" s="74"/>
      <c r="H224" s="78"/>
    </row>
    <row r="225" ht="15.75" customHeight="1"/>
    <row r="226" ht="19.5" customHeight="1">
      <c r="B226" s="37" t="str">
        <f>"③  " &amp; "66H08348" &amp; "   —   " &amp; COUNT($C$228:$C$233) &amp; " khoản · " &amp; TEXT(SUM($F$228:$F$233),"#,##0") &amp; "đ · còn nợ " &amp; TEXT(SUMIF($G$228:$G$233,"Chưa thanh toán",$F$228:$F$233),"#,##0") &amp; "đ"</f>
        <v>③  66H08348   —   1 khoản · 3.700.000đ · còn nợ 3.700.000đ</v>
      </c>
      <c r="C226" s="2"/>
      <c r="D226" s="2"/>
      <c r="E226" s="2"/>
      <c r="F226" s="2"/>
      <c r="G226" s="2"/>
      <c r="H226" s="4"/>
    </row>
    <row r="227" ht="25.5" customHeight="1">
      <c r="B227" s="40" t="s">
        <v>7</v>
      </c>
      <c r="C227" s="40" t="s">
        <v>46</v>
      </c>
      <c r="D227" s="40" t="s">
        <v>47</v>
      </c>
      <c r="E227" s="40" t="s">
        <v>48</v>
      </c>
      <c r="F227" s="40" t="s">
        <v>49</v>
      </c>
      <c r="G227" s="40" t="s">
        <v>50</v>
      </c>
      <c r="H227" s="40" t="s">
        <v>19</v>
      </c>
    </row>
    <row r="228" ht="15.0" customHeight="1">
      <c r="B228" s="94">
        <v>1.0</v>
      </c>
      <c r="C228" s="96">
        <v>46231.0</v>
      </c>
      <c r="D228" s="97" t="s">
        <v>164</v>
      </c>
      <c r="E228" s="99"/>
      <c r="F228" s="100">
        <v>3700000.0</v>
      </c>
      <c r="G228" s="139" t="s">
        <v>152</v>
      </c>
      <c r="H228" s="102" t="s">
        <v>165</v>
      </c>
    </row>
    <row r="229" ht="15.0" customHeight="1">
      <c r="B229" s="58"/>
      <c r="C229" s="59"/>
      <c r="D229" s="61"/>
      <c r="E229" s="63"/>
      <c r="F229" s="65"/>
      <c r="G229" s="63"/>
      <c r="H229" s="68"/>
    </row>
    <row r="230" ht="15.0" customHeight="1">
      <c r="B230" s="58"/>
      <c r="C230" s="59"/>
      <c r="D230" s="61"/>
      <c r="E230" s="63"/>
      <c r="F230" s="65"/>
      <c r="G230" s="63"/>
      <c r="H230" s="68"/>
    </row>
    <row r="231" ht="15.0" customHeight="1">
      <c r="B231" s="58"/>
      <c r="C231" s="59"/>
      <c r="D231" s="61"/>
      <c r="E231" s="63"/>
      <c r="F231" s="65"/>
      <c r="G231" s="63"/>
      <c r="H231" s="68"/>
    </row>
    <row r="232" ht="15.0" customHeight="1">
      <c r="B232" s="58"/>
      <c r="C232" s="59"/>
      <c r="D232" s="61"/>
      <c r="E232" s="63"/>
      <c r="F232" s="65"/>
      <c r="G232" s="63"/>
      <c r="H232" s="68"/>
    </row>
    <row r="233" ht="15.0" customHeight="1">
      <c r="B233" s="58"/>
      <c r="C233" s="59"/>
      <c r="D233" s="61"/>
      <c r="E233" s="63"/>
      <c r="F233" s="65"/>
      <c r="G233" s="63"/>
      <c r="H233" s="68"/>
    </row>
    <row r="234" ht="15.75" customHeight="1"/>
    <row r="235" ht="27.75" customHeight="1">
      <c r="B235" s="155" t="s">
        <v>168</v>
      </c>
    </row>
    <row r="236" ht="27.75" customHeight="1">
      <c r="B236" s="155" t="s">
        <v>169</v>
      </c>
    </row>
    <row r="237" ht="49.5" customHeight="1">
      <c r="B237" s="156" t="s">
        <v>170</v>
      </c>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7">
    <mergeCell ref="A1:H1"/>
    <mergeCell ref="A2:H2"/>
    <mergeCell ref="B4:C4"/>
    <mergeCell ref="D4:E4"/>
    <mergeCell ref="F4:H4"/>
    <mergeCell ref="B5:C5"/>
    <mergeCell ref="D5:E5"/>
    <mergeCell ref="F5:H5"/>
    <mergeCell ref="B7:H7"/>
    <mergeCell ref="B8:H8"/>
    <mergeCell ref="B17:H17"/>
    <mergeCell ref="B26:H26"/>
    <mergeCell ref="B35:H35"/>
    <mergeCell ref="B44:H44"/>
    <mergeCell ref="B53:H53"/>
    <mergeCell ref="B62:H62"/>
    <mergeCell ref="B71:H71"/>
    <mergeCell ref="B80:H80"/>
    <mergeCell ref="B89:H89"/>
    <mergeCell ref="B98:H98"/>
    <mergeCell ref="B107:H107"/>
    <mergeCell ref="B116:H116"/>
    <mergeCell ref="B125:H125"/>
    <mergeCell ref="B134:H134"/>
    <mergeCell ref="B143:H143"/>
    <mergeCell ref="B152:H152"/>
    <mergeCell ref="B161:H161"/>
    <mergeCell ref="B170:H170"/>
    <mergeCell ref="B236:H236"/>
    <mergeCell ref="B237:H237"/>
    <mergeCell ref="B179:H179"/>
    <mergeCell ref="B188:H188"/>
    <mergeCell ref="B198:H198"/>
    <mergeCell ref="B208:H208"/>
    <mergeCell ref="B217:H217"/>
    <mergeCell ref="B226:H226"/>
    <mergeCell ref="B235:H235"/>
  </mergeCells>
  <dataValidations>
    <dataValidation type="date" operator="greaterThanOrEqual" allowBlank="1" showInputMessage="1" prompt="Ngày lạ - Ngày trước năm 2020 — bấm Có nếu chắc chắn đúng." sqref="C10:C15 C19:C24 C28:C33 C37:C42 C46:C51 C55:C60 C64:C69 C73:C78 C82:C87 C91:C96 C100:C105 C109:C114 C118:C123 C127:C132 C136:C141 C145:C150 C154:C159 C163:C168 C172:C177 C181:C186 C190:C196 C200:C206 C210:C215 C219:C224 C228:C233">
      <formula1>2020-1-1</formula1>
    </dataValidation>
    <dataValidation type="list" allowBlank="1" showInputMessage="1" showErrorMessage="1" prompt="Chọn trong danh sách - Chỉ chọn Đã thanh toán hoặc Chưa thanh toán." sqref="G10:G15 G19:G24 G28:G33 G37:G42 G46:G51 G55:G60 G64:G69 G73:G78 G82:G87 G91:G96 G100:G105 G109:G114 G118:G123 G127:G132 G136:G141 G145:G150 G154:G159 G163:G168 G172:G177 G181:G186 G190:G196 G200:G206 G210:G215 G219:G224 G228:G233">
      <formula1>"Đã thanh toán,Chưa thanh toán"</formula1>
    </dataValidation>
  </dataValidations>
  <printOptions/>
  <pageMargins bottom="1.0" footer="0.0" header="0.0" left="0.75" right="0.75" top="1.0"/>
  <pageSetup fitToHeight="0" paperSize="9" orientation="landscape"/>
  <drawing r:id="rId1"/>
</worksheet>
</file>